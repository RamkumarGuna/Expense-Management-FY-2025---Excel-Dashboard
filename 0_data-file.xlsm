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RAKESH\Desktop\"/>
    </mc:Choice>
  </mc:AlternateContent>
  <xr:revisionPtr revIDLastSave="0" documentId="13_ncr:1_{14C003B0-1048-471D-AE2C-C311EF4750E2}" xr6:coauthVersionLast="47" xr6:coauthVersionMax="47" xr10:uidLastSave="{00000000-0000-0000-0000-000000000000}"/>
  <bookViews>
    <workbookView xWindow="-120" yWindow="-120" windowWidth="29040" windowHeight="15720"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66"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3"/>
  <c r="AF6" i="3" s="1"/>
  <c r="AF4" i="3"/>
  <c r="AF3" i="3"/>
  <c r="AF2" i="3"/>
  <c r="AF7" i="3" l="1"/>
</calcChain>
</file>

<file path=xl/sharedStrings.xml><?xml version="1.0" encoding="utf-8"?>
<sst xmlns="http://schemas.openxmlformats.org/spreadsheetml/2006/main" count="3407" uniqueCount="939">
  <si>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</si>
  <si>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</si>
  <si>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</si>
  <si>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</si>
  <si>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</si>
  <si>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</si>
  <si>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</si>
  <si>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</si>
  <si>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</si>
  <si>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</si>
  <si>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</si>
  <si>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</si>
  <si>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</si>
  <si>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</si>
  <si>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</si>
  <si>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</si>
  <si>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</si>
  <si>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</si>
  <si>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</si>
  <si>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</si>
  <si>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</si>
  <si>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</si>
  <si>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</si>
  <si>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</si>
  <si>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</si>
  <si>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</si>
  <si>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</si>
  <si>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</si>
  <si>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</si>
  <si>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</si>
  <si>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</si>
  <si>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</si>
  <si>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</si>
  <si>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</si>
  <si>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</si>
  <si>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</si>
  <si>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</si>
  <si>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</si>
  <si>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</si>
  <si>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</si>
  <si>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</si>
  <si>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</si>
  <si>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</si>
  <si>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</si>
  <si>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</si>
  <si>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</si>
  <si>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</si>
  <si>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</si>
  <si>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</si>
  <si>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</si>
  <si>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</si>
  <si>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</si>
  <si>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</si>
  <si>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</si>
  <si>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</si>
  <si>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</si>
  <si>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</si>
  <si>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</si>
  <si>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</si>
  <si>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</si>
  <si>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</si>
  <si>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</si>
  <si>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</si>
  <si>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</si>
  <si>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</si>
  <si>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</si>
  <si>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</si>
  <si>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</si>
  <si>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</si>
  <si>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</si>
  <si>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</si>
  <si>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</si>
  <si>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</si>
  <si>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</si>
  <si>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</si>
  <si>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</si>
  <si>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</si>
  <si>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</si>
  <si>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</si>
  <si>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</si>
  <si>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</si>
  <si>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</si>
  <si>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</si>
  <si>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</si>
  <si>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</si>
  <si>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</si>
  <si>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</si>
  <si>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</si>
  <si>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</si>
  <si>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</si>
  <si>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</si>
  <si>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</si>
  <si>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</si>
  <si>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</si>
  <si>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</si>
  <si>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</si>
  <si>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</si>
  <si>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</si>
  <si>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</si>
  <si>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</si>
  <si>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</si>
  <si>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</si>
  <si>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</si>
  <si>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</si>
  <si>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</si>
  <si>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</si>
  <si>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</si>
  <si>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</si>
  <si>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</si>
  <si>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</si>
  <si>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</si>
  <si>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</si>
  <si>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</si>
  <si>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</si>
  <si>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</si>
  <si>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</si>
  <si>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</si>
  <si>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</si>
  <si>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</si>
  <si>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</si>
  <si>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</si>
  <si>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</si>
  <si>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</si>
  <si>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</si>
  <si>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</si>
  <si>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</si>
  <si>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</si>
  <si>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</si>
  <si>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</si>
  <si>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</si>
  <si>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</si>
  <si>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</si>
  <si>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</si>
  <si>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</si>
  <si>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</si>
  <si>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</si>
  <si>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</si>
  <si>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</si>
  <si>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</si>
  <si>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</si>
  <si>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</si>
  <si>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</si>
  <si>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</si>
  <si>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</si>
  <si>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</si>
  <si>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</si>
  <si>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</si>
  <si>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</si>
  <si>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</si>
  <si>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</si>
  <si>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</si>
  <si>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</si>
  <si>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</si>
  <si>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</si>
  <si>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</si>
  <si>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</si>
  <si>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</si>
  <si>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</si>
  <si>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</si>
  <si>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</si>
  <si>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</si>
  <si>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</si>
  <si>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</si>
  <si>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</si>
  <si>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</si>
  <si>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</si>
  <si>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</si>
  <si>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</si>
  <si>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</si>
  <si>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</si>
  <si>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</si>
  <si>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</si>
  <si>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</si>
  <si>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</si>
  <si>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</si>
  <si>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</si>
  <si>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</si>
  <si>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</si>
  <si>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</si>
  <si>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</si>
  <si>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</si>
  <si>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</si>
  <si>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</si>
  <si>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</si>
  <si>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</si>
  <si>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</si>
  <si>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</si>
  <si>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</si>
  <si>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</si>
  <si>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</si>
  <si>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</si>
  <si>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</si>
  <si>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</si>
  <si>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</si>
  <si>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</si>
  <si>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</si>
  <si>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</si>
  <si>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</si>
  <si>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</si>
  <si>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</si>
  <si>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</si>
  <si>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</si>
  <si>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</si>
  <si>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</si>
  <si>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</si>
  <si>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</si>
  <si>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</si>
  <si>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</si>
  <si>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</si>
  <si>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</si>
  <si>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</si>
  <si>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</si>
  <si>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</si>
  <si>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</si>
  <si>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</si>
  <si>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</si>
  <si>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</si>
  <si>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</si>
  <si>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</si>
  <si>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</si>
  <si>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</si>
  <si>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</si>
  <si>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</si>
  <si>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</si>
  <si>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</si>
  <si>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</si>
  <si>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</si>
  <si>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</si>
  <si>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</si>
  <si>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</si>
  <si>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</si>
  <si>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</si>
  <si>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</si>
  <si>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</si>
  <si>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</si>
  <si>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</si>
  <si>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</si>
  <si>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</si>
  <si>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</si>
  <si>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</si>
  <si>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</si>
  <si>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</si>
  <si>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</si>
  <si>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</si>
  <si>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</si>
  <si>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</si>
  <si>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</si>
  <si>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</si>
  <si>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</si>
  <si>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</si>
  <si>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</si>
  <si>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</si>
  <si>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</si>
  <si>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</si>
  <si>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</si>
  <si>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</si>
  <si>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</si>
  <si>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</si>
  <si>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</si>
  <si>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</si>
  <si>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</si>
  <si>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</si>
  <si>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</si>
  <si>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</si>
  <si>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</si>
  <si>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</si>
  <si>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</si>
  <si>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</si>
  <si>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</si>
  <si>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</si>
  <si>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</si>
  <si>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</si>
  <si>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</si>
  <si>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</si>
  <si>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</si>
  <si>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</si>
  <si>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</si>
  <si>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</si>
  <si>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</si>
  <si>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</si>
  <si>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</si>
  <si>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</si>
  <si>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</si>
  <si>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</si>
  <si>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</si>
  <si>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</si>
  <si>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</si>
  <si>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</si>
  <si>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</si>
  <si>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</si>
  <si>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</si>
  <si>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</si>
  <si>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</si>
  <si>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</si>
  <si>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</si>
  <si>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</si>
  <si>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</si>
  <si>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</si>
  <si>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</si>
  <si>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</si>
  <si>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</si>
  <si>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</si>
  <si>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</si>
  <si>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</si>
  <si>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</si>
  <si>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</si>
  <si>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</si>
  <si>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</si>
  <si>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</si>
  <si>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</si>
  <si>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</si>
  <si>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</si>
  <si>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</si>
  <si>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</si>
  <si>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</si>
  <si>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</si>
  <si>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</si>
  <si>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</si>
  <si>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</si>
  <si>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</si>
  <si>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</si>
  <si>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</si>
  <si>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</si>
  <si>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</si>
  <si>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</si>
  <si>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</si>
  <si>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</si>
  <si>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</si>
  <si>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</si>
  <si>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</si>
  <si>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</si>
  <si>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</si>
  <si>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</si>
  <si>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</si>
  <si>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</si>
  <si>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</si>
  <si>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</si>
  <si>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</si>
  <si>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</si>
  <si>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</si>
  <si>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</si>
  <si>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</si>
  <si>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</si>
  <si>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</si>
  <si>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</si>
  <si>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</si>
  <si>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</si>
  <si>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</si>
  <si>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</si>
  <si>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</si>
  <si>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</si>
  <si>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</si>
  <si>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</si>
  <si>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</si>
  <si>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</si>
  <si>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</si>
  <si>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</si>
  <si>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</si>
  <si>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</si>
  <si>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</si>
  <si>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</si>
  <si>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</si>
  <si>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</si>
  <si>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</si>
  <si>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</si>
  <si>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</si>
  <si>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</si>
  <si>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</si>
  <si>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</si>
  <si>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</si>
  <si>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</si>
  <si>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</si>
  <si>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</si>
  <si>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</si>
  <si>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</si>
  <si>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</si>
  <si>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</si>
  <si>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</si>
  <si>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</si>
  <si>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</si>
  <si>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</si>
  <si>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</si>
  <si>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</si>
  <si>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</si>
  <si>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</si>
  <si>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</si>
  <si>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</si>
  <si>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</si>
  <si>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</si>
  <si>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</si>
  <si>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</si>
  <si>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</si>
  <si>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</si>
  <si>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</si>
  <si>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</si>
  <si>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</si>
  <si>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</si>
  <si>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</si>
  <si>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</si>
  <si>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</si>
  <si>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</si>
  <si>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</si>
  <si>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</si>
  <si>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</si>
  <si>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</si>
  <si>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</si>
  <si>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</si>
  <si>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</si>
  <si>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</si>
  <si>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</si>
  <si>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</si>
  <si>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</si>
  <si>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</si>
  <si>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</si>
  <si>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</si>
  <si>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</si>
  <si>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</si>
  <si>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</si>
  <si>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</si>
  <si>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</si>
  <si>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</si>
  <si>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</si>
  <si>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</si>
  <si>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</si>
  <si>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</si>
  <si>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</si>
  <si>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</si>
  <si>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</si>
  <si>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</si>
  <si>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</si>
  <si>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</si>
  <si>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</si>
  <si>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</si>
  <si>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</si>
  <si>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</si>
  <si>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</si>
  <si>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</si>
  <si>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</si>
  <si>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</si>
  <si>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</si>
  <si>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</si>
  <si>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</si>
  <si>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</si>
  <si>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</si>
  <si>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</si>
  <si>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</si>
  <si>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</si>
  <si>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</si>
  <si>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</si>
  <si>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</si>
  <si>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</si>
  <si>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</si>
  <si>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</si>
  <si>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</si>
  <si>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</si>
  <si>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</si>
  <si>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</si>
  <si>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</si>
  <si>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</si>
  <si>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</si>
  <si>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</si>
  <si>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</si>
  <si>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</si>
  <si>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</si>
  <si>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</si>
  <si>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</si>
  <si>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</si>
  <si>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</si>
  <si>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</si>
  <si>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</si>
  <si>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</si>
  <si>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</si>
  <si>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</si>
  <si>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</si>
  <si>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</si>
  <si>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</si>
  <si>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</si>
  <si>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</si>
  <si>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</si>
  <si>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</si>
  <si>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</si>
  <si>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</si>
  <si>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</si>
  <si>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</si>
  <si>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</si>
  <si>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</si>
  <si>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</si>
  <si>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</si>
  <si>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</si>
  <si>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</si>
  <si>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</si>
  <si>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</si>
  <si>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</si>
  <si>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</si>
  <si>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</si>
  <si>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</si>
  <si>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</si>
  <si>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</si>
  <si>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</si>
  <si>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</si>
  <si>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</si>
  <si>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</si>
  <si>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</si>
  <si>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</si>
  <si>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</si>
  <si>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</si>
  <si>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</si>
  <si>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</si>
  <si>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</si>
  <si>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</si>
  <si>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</si>
  <si>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</si>
  <si>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</si>
  <si>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</si>
  <si>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</si>
  <si>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</si>
  <si>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</si>
  <si>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</si>
  <si>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</si>
  <si>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</si>
  <si>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</si>
  <si>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</si>
  <si>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</si>
  <si>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</si>
  <si>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</si>
  <si>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</si>
  <si>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</si>
  <si>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</si>
  <si>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</si>
  <si>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</si>
  <si>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</si>
  <si>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</si>
  <si>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</si>
  <si>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</si>
  <si>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</si>
  <si>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</si>
  <si>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</si>
  <si>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</si>
  <si>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</si>
  <si>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</si>
  <si>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</si>
  <si>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</si>
  <si>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</si>
  <si>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</si>
  <si>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</si>
  <si>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</si>
  <si>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</si>
  <si>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</si>
  <si>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</si>
  <si>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</si>
  <si>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</si>
  <si>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</si>
  <si>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</si>
  <si>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</si>
  <si>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</si>
  <si>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</si>
  <si>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</si>
  <si>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</si>
  <si>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</si>
  <si>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</si>
  <si>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</si>
  <si>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</si>
  <si>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</si>
  <si>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</si>
  <si>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</si>
  <si>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</si>
  <si>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</si>
  <si>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</si>
  <si>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</si>
  <si>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</si>
  <si>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</si>
  <si>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</si>
  <si>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</si>
  <si>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</si>
  <si>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</si>
  <si>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</si>
  <si>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</si>
  <si>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</si>
  <si>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</si>
  <si>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</si>
  <si>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</si>
  <si>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</si>
  <si>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</si>
  <si>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</si>
  <si>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</si>
  <si>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</si>
  <si>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</si>
  <si>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</si>
  <si>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</si>
  <si>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</si>
  <si>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</si>
  <si>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</si>
  <si>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</si>
  <si>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</si>
  <si>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</si>
  <si>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</si>
  <si>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</si>
  <si>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</si>
  <si>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</si>
  <si>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</si>
  <si>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</si>
  <si>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</si>
  <si>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</si>
  <si>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</si>
  <si>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</si>
  <si>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</si>
  <si>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</si>
  <si>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</si>
  <si>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</si>
  <si>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</si>
  <si>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</si>
  <si>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</si>
  <si>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</si>
  <si>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</si>
  <si>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</si>
  <si>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</si>
  <si>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</si>
  <si>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</si>
  <si>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</si>
  <si>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</si>
  <si>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</si>
  <si>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</si>
  <si>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</si>
  <si>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</si>
  <si>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</si>
  <si>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</si>
  <si>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</si>
  <si>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</si>
  <si>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</si>
  <si>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</si>
  <si>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</si>
  <si>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</si>
  <si>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</si>
  <si>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</si>
  <si>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</si>
  <si>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</si>
  <si>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</si>
  <si>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</si>
  <si>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</si>
  <si>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</si>
  <si>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</si>
  <si>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</si>
  <si>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</si>
  <si>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</si>
  <si>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</si>
  <si>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</si>
  <si>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</si>
  <si>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</si>
  <si>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</si>
  <si>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</si>
  <si>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</si>
  <si>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</si>
  <si>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</si>
  <si>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</si>
  <si>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</si>
  <si>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</si>
  <si>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</si>
  <si>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</si>
  <si>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</si>
  <si>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</si>
  <si>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</si>
  <si>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</si>
  <si>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</si>
  <si>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</si>
  <si>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</si>
  <si>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</si>
  <si>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</si>
  <si>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</si>
  <si>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</si>
  <si>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</si>
  <si>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</si>
  <si>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</si>
  <si>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</si>
  <si>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</si>
  <si>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</si>
  <si>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</si>
  <si>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</si>
  <si>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</si>
  <si>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</si>
  <si>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</si>
  <si>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</si>
  <si>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</si>
  <si>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</si>
  <si>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</si>
  <si>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</si>
  <si>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</si>
  <si>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</si>
  <si>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</si>
  <si>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</si>
  <si>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</si>
  <si>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</si>
  <si>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</si>
  <si>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</si>
  <si>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</si>
  <si>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</si>
  <si>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</si>
  <si>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</si>
  <si>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</si>
  <si>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</si>
  <si>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</si>
  <si>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</si>
  <si>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</si>
  <si>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</si>
  <si>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</si>
  <si>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</si>
  <si>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</si>
  <si>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</si>
  <si>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</si>
  <si>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</si>
  <si>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</si>
  <si>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</si>
  <si>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</si>
  <si>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</si>
  <si>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</si>
  <si>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</si>
  <si>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</si>
  <si>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</si>
  <si>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</si>
  <si>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</si>
  <si>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</si>
  <si>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</si>
  <si>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</si>
  <si>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</si>
  <si>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</si>
  <si>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</si>
  <si>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</si>
  <si>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</si>
  <si>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</si>
  <si>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</si>
  <si>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</si>
  <si>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</si>
  <si>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</si>
  <si>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</si>
  <si>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</si>
  <si>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</si>
  <si>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</si>
  <si>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</si>
  <si>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</si>
  <si>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</si>
  <si>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</si>
  <si>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</si>
  <si>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</si>
  <si>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</si>
  <si>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</si>
  <si>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</si>
  <si>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</si>
  <si>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</si>
  <si>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</si>
  <si>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</si>
  <si>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</si>
  <si>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</si>
  <si>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</si>
  <si>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</si>
  <si>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</si>
  <si>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</si>
  <si>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</si>
  <si>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</si>
  <si>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</si>
  <si>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</si>
  <si>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</si>
  <si>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</si>
  <si>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</si>
  <si>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</si>
  <si>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</si>
  <si>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</si>
  <si>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</si>
  <si>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</si>
  <si>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</si>
  <si>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</si>
  <si>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</si>
  <si>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</si>
  <si>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</si>
  <si>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</si>
  <si>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</si>
  <si>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</si>
  <si>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</si>
  <si>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</si>
  <si>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</si>
  <si>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</si>
  <si>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</si>
  <si>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</si>
  <si>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</si>
  <si>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</si>
  <si>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</si>
  <si>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</si>
  <si>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</si>
  <si>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</si>
  <si>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</si>
  <si>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</si>
  <si>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</si>
  <si>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</si>
  <si>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</si>
  <si>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</si>
  <si>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</si>
  <si>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</si>
  <si>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</si>
  <si>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</si>
  <si>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</si>
  <si>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</si>
  <si>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</si>
  <si>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</si>
  <si>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</si>
  <si>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</si>
  <si>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</si>
  <si>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</si>
  <si>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</si>
  <si>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</si>
  <si>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</si>
  <si>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</si>
  <si>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</si>
  <si>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</si>
  <si>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</si>
  <si>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</si>
  <si>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</si>
  <si>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</si>
  <si>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</si>
  <si>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</si>
  <si>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</si>
  <si>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</si>
  <si>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</si>
  <si>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</si>
  <si>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</si>
  <si>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</si>
  <si>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</si>
  <si>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</si>
  <si>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</si>
  <si>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</si>
  <si>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</si>
  <si>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</si>
  <si>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</si>
  <si>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</si>
  <si>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</si>
  <si>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</si>
  <si>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</si>
  <si>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</si>
  <si>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</si>
  <si>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</si>
  <si>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</si>
  <si>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</si>
  <si>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</si>
  <si>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</si>
  <si>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</si>
  <si>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</si>
  <si>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</si>
  <si>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</si>
  <si>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</si>
  <si>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</si>
  <si>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</si>
  <si>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</si>
  <si>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</si>
  <si>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</si>
  <si>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</si>
  <si>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</si>
  <si>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</si>
  <si>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</si>
  <si>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</si>
  <si>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</si>
  <si>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</si>
  <si>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</si>
  <si>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</si>
  <si>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</si>
  <si>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</si>
  <si>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</si>
  <si>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</si>
  <si>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</si>
  <si>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</si>
  <si>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</si>
  <si>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</si>
  <si>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</si>
  <si>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</si>
  <si>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</si>
  <si>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</si>
  <si>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</si>
  <si>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</si>
  <si>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</si>
  <si>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</si>
  <si>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</si>
  <si>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</si>
  <si>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</si>
  <si>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</si>
  <si>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</si>
  <si>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</si>
  <si>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</si>
  <si>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</si>
  <si>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</si>
  <si>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</si>
  <si>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</si>
  <si>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</si>
  <si>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</si>
  <si>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</si>
  <si>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</si>
  <si>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</si>
  <si>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</si>
  <si>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</si>
  <si>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</si>
  <si>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</si>
  <si>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</si>
  <si>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</si>
  <si>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</si>
  <si>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</si>
  <si>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</si>
  <si>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</si>
  <si>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</si>
  <si>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</si>
  <si>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</si>
  <si>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</si>
  <si>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</si>
  <si>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</si>
  <si>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</si>
  <si>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</si>
  <si>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</si>
  <si>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</si>
  <si>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</si>
  <si>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</si>
  <si>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</si>
  <si>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</si>
  <si>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</si>
  <si>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</si>
  <si>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</si>
  <si>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</si>
  <si>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</si>
  <si>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</si>
  <si>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Feb</t>
  </si>
  <si>
    <t>Mar</t>
  </si>
  <si>
    <t>Apr</t>
  </si>
  <si>
    <t>May</t>
  </si>
  <si>
    <t>Jun</t>
  </si>
  <si>
    <t>Jul</t>
  </si>
  <si>
    <t>Aug</t>
  </si>
  <si>
    <t>Sep</t>
  </si>
  <si>
    <t>Oct</t>
  </si>
  <si>
    <t>Nov</t>
  </si>
  <si>
    <t>Dec</t>
  </si>
  <si>
    <t>Values</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</si>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</sst>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family val="2"/>
      <scheme val="minor"/>
    </font>
    <font>
      <sz val="10"/>
      <color theme="1"/>
      <name val="Aptos"/>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0" fillId="0" borderId="0" xfId="0" applyNumberFormat="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3660">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numFmt numFmtId="165" formatCode="#,##0,&quot;K&quot;"/>
    </dxf>
    <dxf>
      <numFmt numFmtId="3" formatCode="#,##0"/>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Grand Total</c:v>
                </c:pt>
              </c:strCache>
            </c:strRef>
          </c:cat>
          <c:val>
            <c:numRef>
              <c:f>Pivot!$B$51:$B$56</c:f>
              <c:numCache>
                <c:formatCode>#,##0,"K"</c:formatCode>
                <c:ptCount val="6"/>
                <c:pt idx="0">
                  <c:v>3366315</c:v>
                </c:pt>
                <c:pt idx="1">
                  <c:v>2611075</c:v>
                </c:pt>
                <c:pt idx="2">
                  <c:v>3616924</c:v>
                </c:pt>
                <c:pt idx="3">
                  <c:v>3010276</c:v>
                </c:pt>
                <c:pt idx="4">
                  <c:v>3346621</c:v>
                </c:pt>
                <c:pt idx="5">
                  <c:v>15951211</c:v>
                </c:pt>
              </c:numCache>
            </c:numRef>
          </c:val>
          <c:extLst>
            <c:ext xmlns:c16="http://schemas.microsoft.com/office/drawing/2014/chart" uri="{C3380CC4-5D6E-409C-BE32-E72D297353CC}">
              <c16:uniqueId val="{00000000-162D-4EB8-899B-0E053EED44E7}"/>
            </c:ext>
          </c:extLst>
        </c:ser>
        <c:dLbls>
          <c:showLegendKey val="0"/>
          <c:showVal val="0"/>
          <c:showCatName val="0"/>
          <c:showSerName val="0"/>
          <c:showPercent val="0"/>
          <c:showBubbleSize val="0"/>
        </c:dLbls>
        <c:gapWidth val="150"/>
        <c:axId val="905704848"/>
        <c:axId val="963384560"/>
      </c:barChart>
      <c:catAx>
        <c:axId val="905704848"/>
        <c:scaling>
          <c:orientation val="minMax"/>
        </c:scaling>
        <c:delete val="0"/>
        <c:axPos val="b"/>
        <c:numFmt formatCode="General" sourceLinked="1"/>
        <c:majorTickMark val="out"/>
        <c:minorTickMark val="none"/>
        <c:tickLblPos val="nextTo"/>
        <c:spPr>
          <a:ln>
            <a:solidFill>
              <a:srgbClr val="D2D2D2"/>
            </a:solidFill>
          </a:ln>
        </c:spPr>
        <c:crossAx val="963384560"/>
        <c:crosses val="autoZero"/>
        <c:auto val="1"/>
        <c:lblAlgn val="ctr"/>
        <c:lblOffset val="100"/>
        <c:noMultiLvlLbl val="0"/>
      </c:catAx>
      <c:valAx>
        <c:axId val="963384560"/>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905704848"/>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Category</a:t>
            </a:r>
          </a:p>
        </c:rich>
      </c:tx>
      <c:overlay val="0"/>
    </c:title>
    <c:autoTitleDeleted val="0"/>
    <c:plotArea>
      <c:layout>
        <c:manualLayout>
          <c:xMode val="edge"/>
          <c:yMode val="edge"/>
          <c:x val="3.921375386156517E-2"/>
          <c:y val="0.14074066246440139"/>
          <c:w val="0.29666667169167932"/>
          <c:h val="0.75620915195929861"/>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EFD1-4CD9-84EA-04F54C1DF01A}"/>
              </c:ext>
            </c:extLst>
          </c:dPt>
          <c:dPt>
            <c:idx val="1"/>
            <c:bubble3D val="0"/>
            <c:spPr>
              <a:solidFill>
                <a:srgbClr val="84C637"/>
              </a:solidFill>
              <a:ln>
                <a:solidFill>
                  <a:srgbClr val="FFFFFF"/>
                </a:solidFill>
              </a:ln>
            </c:spPr>
            <c:extLst>
              <c:ext xmlns:c16="http://schemas.microsoft.com/office/drawing/2014/chart" uri="{C3380CC4-5D6E-409C-BE32-E72D297353CC}">
                <c16:uniqueId val="{00000002-EFD1-4CD9-84EA-04F54C1DF01A}"/>
              </c:ext>
            </c:extLst>
          </c:dPt>
          <c:dPt>
            <c:idx val="2"/>
            <c:bubble3D val="0"/>
            <c:spPr>
              <a:solidFill>
                <a:srgbClr val="5DB13A"/>
              </a:solidFill>
              <a:ln>
                <a:solidFill>
                  <a:srgbClr val="FFFFFF"/>
                </a:solidFill>
              </a:ln>
            </c:spPr>
            <c:extLst>
              <c:ext xmlns:c16="http://schemas.microsoft.com/office/drawing/2014/chart" uri="{C3380CC4-5D6E-409C-BE32-E72D297353CC}">
                <c16:uniqueId val="{00000003-EFD1-4CD9-84EA-04F54C1DF01A}"/>
              </c:ext>
            </c:extLst>
          </c:dPt>
          <c:dPt>
            <c:idx val="3"/>
            <c:bubble3D val="0"/>
            <c:spPr>
              <a:solidFill>
                <a:srgbClr val="168A96"/>
              </a:solidFill>
              <a:ln>
                <a:solidFill>
                  <a:srgbClr val="FFFFFF"/>
                </a:solidFill>
              </a:ln>
            </c:spPr>
            <c:extLst>
              <c:ext xmlns:c16="http://schemas.microsoft.com/office/drawing/2014/chart" uri="{C3380CC4-5D6E-409C-BE32-E72D297353CC}">
                <c16:uniqueId val="{00000004-EFD1-4CD9-84EA-04F54C1DF01A}"/>
              </c:ext>
            </c:extLst>
          </c:dPt>
          <c:dPt>
            <c:idx val="4"/>
            <c:bubble3D val="0"/>
            <c:spPr>
              <a:solidFill>
                <a:srgbClr val="7030A0"/>
              </a:solidFill>
              <a:ln>
                <a:solidFill>
                  <a:srgbClr val="FFFFFF"/>
                </a:solidFill>
              </a:ln>
            </c:spPr>
            <c:extLst>
              <c:ext xmlns:c16="http://schemas.microsoft.com/office/drawing/2014/chart" uri="{C3380CC4-5D6E-409C-BE32-E72D297353CC}">
                <c16:uniqueId val="{00000005-EFD1-4CD9-84EA-04F54C1DF01A}"/>
              </c:ext>
            </c:extLst>
          </c:dPt>
          <c:dPt>
            <c:idx val="5"/>
            <c:bubble3D val="0"/>
            <c:spPr>
              <a:solidFill>
                <a:srgbClr val="618724"/>
              </a:solidFill>
              <a:ln>
                <a:solidFill>
                  <a:srgbClr val="FFFFFF"/>
                </a:solidFill>
              </a:ln>
            </c:spPr>
            <c:extLst>
              <c:ext xmlns:c16="http://schemas.microsoft.com/office/drawing/2014/chart" uri="{C3380CC4-5D6E-409C-BE32-E72D297353CC}">
                <c16:uniqueId val="{00000006-EFD1-4CD9-84EA-04F54C1DF01A}"/>
              </c:ext>
            </c:extLst>
          </c:dPt>
          <c:dPt>
            <c:idx val="6"/>
            <c:bubble3D val="0"/>
            <c:spPr>
              <a:solidFill>
                <a:srgbClr val="91A0AA"/>
              </a:solidFill>
              <a:ln>
                <a:solidFill>
                  <a:srgbClr val="FFFFFF"/>
                </a:solidFill>
              </a:ln>
            </c:spPr>
            <c:extLst>
              <c:ext xmlns:c16="http://schemas.microsoft.com/office/drawing/2014/chart" uri="{C3380CC4-5D6E-409C-BE32-E72D297353CC}">
                <c16:uniqueId val="{00000007-EFD1-4CD9-84EA-04F54C1DF01A}"/>
              </c:ext>
            </c:extLst>
          </c:dPt>
          <c:dPt>
            <c:idx val="7"/>
            <c:bubble3D val="0"/>
            <c:spPr>
              <a:solidFill>
                <a:srgbClr val="ED7D31"/>
              </a:solidFill>
              <a:ln>
                <a:solidFill>
                  <a:srgbClr val="FFFFFF"/>
                </a:solidFill>
              </a:ln>
            </c:spPr>
            <c:extLst>
              <c:ext xmlns:c16="http://schemas.microsoft.com/office/drawing/2014/chart" uri="{C3380CC4-5D6E-409C-BE32-E72D297353CC}">
                <c16:uniqueId val="{00000008-EFD1-4CD9-84EA-04F54C1DF01A}"/>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5505129</c:v>
                </c:pt>
                <c:pt idx="1">
                  <c:v>3250371</c:v>
                </c:pt>
                <c:pt idx="2">
                  <c:v>2814617</c:v>
                </c:pt>
                <c:pt idx="3">
                  <c:v>163172</c:v>
                </c:pt>
                <c:pt idx="4">
                  <c:v>1507371</c:v>
                </c:pt>
                <c:pt idx="5">
                  <c:v>618177</c:v>
                </c:pt>
                <c:pt idx="6">
                  <c:v>1748053</c:v>
                </c:pt>
                <c:pt idx="7">
                  <c:v>344321</c:v>
                </c:pt>
              </c:numCache>
            </c:numRef>
          </c:val>
          <c:extLst>
            <c:ext xmlns:c16="http://schemas.microsoft.com/office/drawing/2014/chart" uri="{C3380CC4-5D6E-409C-BE32-E72D297353CC}">
              <c16:uniqueId val="{00000000-EFD1-4CD9-84EA-04F54C1DF01A}"/>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5907620921589829"/>
          <c:y val="0.15043572844521794"/>
          <c:w val="0.440923753096507"/>
          <c:h val="0.72592587611370996"/>
        </c:manualLayout>
      </c:layout>
      <c:overlay val="0"/>
      <c:txPr>
        <a:bodyPr/>
        <a:lstStyle/>
        <a:p>
          <a:pPr>
            <a:defRPr sz="1200"/>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1143552</c:v>
                </c:pt>
                <c:pt idx="1">
                  <c:v>860027</c:v>
                </c:pt>
                <c:pt idx="2">
                  <c:v>1116916</c:v>
                </c:pt>
                <c:pt idx="3">
                  <c:v>1177022</c:v>
                </c:pt>
                <c:pt idx="4">
                  <c:v>1464148</c:v>
                </c:pt>
                <c:pt idx="5">
                  <c:v>1194133</c:v>
                </c:pt>
                <c:pt idx="6">
                  <c:v>1480791</c:v>
                </c:pt>
                <c:pt idx="7">
                  <c:v>1302500</c:v>
                </c:pt>
                <c:pt idx="8">
                  <c:v>1744001</c:v>
                </c:pt>
                <c:pt idx="9">
                  <c:v>1226148</c:v>
                </c:pt>
                <c:pt idx="10">
                  <c:v>1727725</c:v>
                </c:pt>
                <c:pt idx="11">
                  <c:v>1514248</c:v>
                </c:pt>
              </c:numCache>
            </c:numRef>
          </c:val>
          <c:smooth val="0"/>
          <c:extLst>
            <c:ext xmlns:c16="http://schemas.microsoft.com/office/drawing/2014/chart" uri="{C3380CC4-5D6E-409C-BE32-E72D297353CC}">
              <c16:uniqueId val="{00000000-A558-4F83-A2F8-DCB31AD62541}"/>
            </c:ext>
          </c:extLst>
        </c:ser>
        <c:dLbls>
          <c:showLegendKey val="0"/>
          <c:showVal val="0"/>
          <c:showCatName val="0"/>
          <c:showSerName val="0"/>
          <c:showPercent val="0"/>
          <c:showBubbleSize val="0"/>
        </c:dLbls>
        <c:marker val="1"/>
        <c:smooth val="0"/>
        <c:axId val="790605984"/>
        <c:axId val="790606464"/>
      </c:lineChart>
      <c:catAx>
        <c:axId val="790605984"/>
        <c:scaling>
          <c:orientation val="minMax"/>
        </c:scaling>
        <c:delete val="0"/>
        <c:axPos val="b"/>
        <c:numFmt formatCode="General" sourceLinked="1"/>
        <c:majorTickMark val="out"/>
        <c:minorTickMark val="none"/>
        <c:tickLblPos val="nextTo"/>
        <c:spPr>
          <a:ln>
            <a:solidFill>
              <a:srgbClr val="D2D2D2"/>
            </a:solidFill>
          </a:ln>
        </c:spPr>
        <c:crossAx val="790606464"/>
        <c:crosses val="autoZero"/>
        <c:auto val="1"/>
        <c:lblAlgn val="ctr"/>
        <c:lblOffset val="100"/>
        <c:noMultiLvlLbl val="0"/>
      </c:catAx>
      <c:valAx>
        <c:axId val="790606464"/>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790605984"/>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Grand Total</c:v>
                </c:pt>
              </c:strCache>
            </c:strRef>
          </c:cat>
          <c:val>
            <c:numRef>
              <c:f>Pivot!$N$51:$N$56</c:f>
              <c:numCache>
                <c:formatCode>#,##0,"K"</c:formatCode>
                <c:ptCount val="6"/>
                <c:pt idx="0">
                  <c:v>3366315</c:v>
                </c:pt>
                <c:pt idx="1">
                  <c:v>2611075</c:v>
                </c:pt>
                <c:pt idx="2">
                  <c:v>3616924</c:v>
                </c:pt>
                <c:pt idx="3">
                  <c:v>3010276</c:v>
                </c:pt>
                <c:pt idx="4">
                  <c:v>3346621</c:v>
                </c:pt>
                <c:pt idx="5">
                  <c:v>15951211</c:v>
                </c:pt>
              </c:numCache>
            </c:numRef>
          </c:val>
          <c:extLst>
            <c:ext xmlns:c16="http://schemas.microsoft.com/office/drawing/2014/chart" uri="{C3380CC4-5D6E-409C-BE32-E72D297353CC}">
              <c16:uniqueId val="{00000000-7F9A-4B4D-AC45-BDA8B9AE5F36}"/>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Grand Total</c:v>
                </c:pt>
              </c:strCache>
            </c:strRef>
          </c:cat>
          <c:val>
            <c:numRef>
              <c:f>Pivot!$O$51:$O$56</c:f>
              <c:numCache>
                <c:formatCode>#,##0,"K"</c:formatCode>
                <c:ptCount val="6"/>
                <c:pt idx="0">
                  <c:v>4162201</c:v>
                </c:pt>
                <c:pt idx="1">
                  <c:v>3159110</c:v>
                </c:pt>
                <c:pt idx="2">
                  <c:v>4425089</c:v>
                </c:pt>
                <c:pt idx="3">
                  <c:v>3898633</c:v>
                </c:pt>
                <c:pt idx="4">
                  <c:v>4160632</c:v>
                </c:pt>
                <c:pt idx="5">
                  <c:v>19805665</c:v>
                </c:pt>
              </c:numCache>
            </c:numRef>
          </c:val>
          <c:extLst>
            <c:ext xmlns:c16="http://schemas.microsoft.com/office/drawing/2014/chart" uri="{C3380CC4-5D6E-409C-BE32-E72D297353CC}">
              <c16:uniqueId val="{00000001-7F9A-4B4D-AC45-BDA8B9AE5F36}"/>
            </c:ext>
          </c:extLst>
        </c:ser>
        <c:dLbls>
          <c:showLegendKey val="0"/>
          <c:showVal val="0"/>
          <c:showCatName val="0"/>
          <c:showSerName val="0"/>
          <c:showPercent val="0"/>
          <c:showBubbleSize val="0"/>
        </c:dLbls>
        <c:gapWidth val="150"/>
        <c:axId val="836178240"/>
        <c:axId val="836176800"/>
      </c:barChart>
      <c:catAx>
        <c:axId val="836178240"/>
        <c:scaling>
          <c:orientation val="minMax"/>
        </c:scaling>
        <c:delete val="0"/>
        <c:axPos val="b"/>
        <c:numFmt formatCode="General" sourceLinked="1"/>
        <c:majorTickMark val="out"/>
        <c:minorTickMark val="none"/>
        <c:tickLblPos val="nextTo"/>
        <c:spPr>
          <a:ln>
            <a:solidFill>
              <a:srgbClr val="D2D2D2"/>
            </a:solidFill>
          </a:ln>
        </c:spPr>
        <c:crossAx val="836176800"/>
        <c:crosses val="autoZero"/>
        <c:auto val="1"/>
        <c:lblAlgn val="ctr"/>
        <c:lblOffset val="100"/>
        <c:noMultiLvlLbl val="0"/>
      </c:catAx>
      <c:valAx>
        <c:axId val="836176800"/>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836178240"/>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4284391</c:v>
                </c:pt>
                <c:pt idx="1">
                  <c:v>3992741</c:v>
                </c:pt>
                <c:pt idx="2">
                  <c:v>4702030</c:v>
                </c:pt>
                <c:pt idx="3">
                  <c:v>2972049</c:v>
                </c:pt>
              </c:numCache>
            </c:numRef>
          </c:val>
          <c:extLst>
            <c:ext xmlns:c16="http://schemas.microsoft.com/office/drawing/2014/chart" uri="{C3380CC4-5D6E-409C-BE32-E72D297353CC}">
              <c16:uniqueId val="{00000000-7371-4F7A-BE3D-9C58393AACA5}"/>
            </c:ext>
          </c:extLst>
        </c:ser>
        <c:dLbls>
          <c:showLegendKey val="0"/>
          <c:showVal val="0"/>
          <c:showCatName val="0"/>
          <c:showSerName val="0"/>
          <c:showPercent val="0"/>
          <c:showBubbleSize val="0"/>
        </c:dLbls>
        <c:gapWidth val="70"/>
        <c:axId val="1082319744"/>
        <c:axId val="1082319264"/>
      </c:barChart>
      <c:catAx>
        <c:axId val="1082319744"/>
        <c:scaling>
          <c:orientation val="minMax"/>
        </c:scaling>
        <c:delete val="0"/>
        <c:axPos val="l"/>
        <c:numFmt formatCode="General" sourceLinked="1"/>
        <c:majorTickMark val="out"/>
        <c:minorTickMark val="none"/>
        <c:tickLblPos val="nextTo"/>
        <c:spPr>
          <a:ln>
            <a:solidFill>
              <a:srgbClr val="D2D2D2"/>
            </a:solidFill>
          </a:ln>
        </c:spPr>
        <c:crossAx val="1082319264"/>
        <c:crosses val="autoZero"/>
        <c:auto val="1"/>
        <c:lblAlgn val="ctr"/>
        <c:lblOffset val="100"/>
        <c:noMultiLvlLbl val="0"/>
      </c:catAx>
      <c:valAx>
        <c:axId val="1082319264"/>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082319744"/>
        <c:crosses val="autoZero"/>
        <c:crossBetween val="between"/>
      </c:valAx>
      <c:spPr>
        <a:solidFill>
          <a:srgbClr val="FFFFFF"/>
        </a:solidFill>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8A378DA0-CD41-5CB7-EB31-D7FFE98B4328}"/>
            </a:ext>
          </a:extLst>
        </xdr:cNvPr>
        <xdr:cNvSpPr/>
      </xdr:nvSpPr>
      <xdr:spPr>
        <a:xfrm>
          <a:off x="0" y="0"/>
          <a:ext cx="16002000" cy="828675"/>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147638</xdr:rowOff>
    </xdr:from>
    <xdr:to>
      <xdr:col>1</xdr:col>
      <xdr:colOff>152400</xdr:colOff>
      <xdr:row>2</xdr:row>
      <xdr:rowOff>128588</xdr:rowOff>
    </xdr:to>
    <xdr:sp macro="" textlink="">
      <xdr:nvSpPr>
        <xdr:cNvPr id="3" name="Oval 2">
          <a:extLst>
            <a:ext uri="{FF2B5EF4-FFF2-40B4-BE49-F238E27FC236}">
              <a16:creationId xmlns:a16="http://schemas.microsoft.com/office/drawing/2014/main" id="{95375E15-EF46-03CC-6739-5A8F7524571A}"/>
            </a:ext>
          </a:extLst>
        </xdr:cNvPr>
        <xdr:cNvSpPr/>
      </xdr:nvSpPr>
      <xdr:spPr>
        <a:xfrm>
          <a:off x="152400" y="147638"/>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solidFill>
                <a:srgbClr val="FFFFFF"/>
              </a:solidFill>
            </a:rPr>
            <a:t>$</a:t>
          </a:r>
        </a:p>
      </xdr:txBody>
    </xdr:sp>
    <xdr:clientData/>
  </xdr:twoCellAnchor>
  <xdr:twoCellAnchor>
    <xdr:from>
      <xdr:col>1</xdr:col>
      <xdr:colOff>254000</xdr:colOff>
      <xdr:row>0</xdr:row>
      <xdr:rowOff>0</xdr:rowOff>
    </xdr:from>
    <xdr:to>
      <xdr:col>25</xdr:col>
      <xdr:colOff>25400</xdr:colOff>
      <xdr:row>3</xdr:row>
      <xdr:rowOff>0</xdr:rowOff>
    </xdr:to>
    <xdr:sp macro="" textlink="">
      <xdr:nvSpPr>
        <xdr:cNvPr id="4" name="TextBox 3">
          <a:extLst>
            <a:ext uri="{FF2B5EF4-FFF2-40B4-BE49-F238E27FC236}">
              <a16:creationId xmlns:a16="http://schemas.microsoft.com/office/drawing/2014/main" id="{78E04102-E1B4-2AEC-1BAA-8EB7B48B37ED}"/>
            </a:ext>
          </a:extLst>
        </xdr:cNvPr>
        <xdr:cNvSpPr txBox="1"/>
      </xdr:nvSpPr>
      <xdr:spPr>
        <a:xfrm>
          <a:off x="787400" y="0"/>
          <a:ext cx="12573000" cy="8286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US" sz="4400" b="1">
              <a:solidFill>
                <a:srgbClr val="FFFFFF"/>
              </a:solidFill>
            </a:rPr>
            <a:t>EXPENSES DASHBOARD | FY 2025</a:t>
          </a:r>
        </a:p>
      </xdr:txBody>
    </xdr:sp>
    <xdr:clientData/>
  </xdr:twoCellAnchor>
  <xdr:twoCellAnchor>
    <xdr:from>
      <xdr:col>25</xdr:col>
      <xdr:colOff>127000</xdr:colOff>
      <xdr:row>0</xdr:row>
      <xdr:rowOff>50800</xdr:rowOff>
    </xdr:from>
    <xdr:to>
      <xdr:col>29</xdr:col>
      <xdr:colOff>406400</xdr:colOff>
      <xdr:row>2</xdr:row>
      <xdr:rowOff>225425</xdr:rowOff>
    </xdr:to>
    <xdr:sp macro="" textlink="">
      <xdr:nvSpPr>
        <xdr:cNvPr id="5" name="TextBox 4">
          <a:extLst>
            <a:ext uri="{FF2B5EF4-FFF2-40B4-BE49-F238E27FC236}">
              <a16:creationId xmlns:a16="http://schemas.microsoft.com/office/drawing/2014/main" id="{F244A739-EE64-3105-2603-FCB4ACC4913B}"/>
            </a:ext>
          </a:extLst>
        </xdr:cNvPr>
        <xdr:cNvSpPr txBox="1"/>
      </xdr:nvSpPr>
      <xdr:spPr>
        <a:xfrm>
          <a:off x="13462000" y="50800"/>
          <a:ext cx="2413000" cy="7270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US" sz="1800" b="1">
              <a:solidFill>
                <a:srgbClr val="FFFFFF"/>
              </a:solidFill>
            </a:rPr>
            <a:t>Data as of:</a:t>
          </a:r>
        </a:p>
        <a:p>
          <a:pPr algn="ctr"/>
          <a:r>
            <a:rPr lang="en-US" sz="1800" b="1">
              <a:solidFill>
                <a:srgbClr val="FFFFFF"/>
              </a:solidFill>
            </a:rPr>
            <a:t>Jul 10,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D01FA0C2-A078-1458-117A-DD86D9269FB2}"/>
            </a:ext>
          </a:extLst>
        </xdr:cNvPr>
        <xdr:cNvSpPr/>
      </xdr:nvSpPr>
      <xdr:spPr>
        <a:xfrm>
          <a:off x="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4</xdr:row>
      <xdr:rowOff>203200</xdr:rowOff>
    </xdr:from>
    <xdr:to>
      <xdr:col>1</xdr:col>
      <xdr:colOff>76200</xdr:colOff>
      <xdr:row>7</xdr:row>
      <xdr:rowOff>0</xdr:rowOff>
    </xdr:to>
    <xdr:sp macro="" textlink="">
      <xdr:nvSpPr>
        <xdr:cNvPr id="7" name="Oval 6">
          <a:extLst>
            <a:ext uri="{FF2B5EF4-FFF2-40B4-BE49-F238E27FC236}">
              <a16:creationId xmlns:a16="http://schemas.microsoft.com/office/drawing/2014/main" id="{C1A2A9A3-0B0D-AB5D-D365-1D5ACAE452A4}"/>
            </a:ext>
          </a:extLst>
        </xdr:cNvPr>
        <xdr:cNvSpPr/>
      </xdr:nvSpPr>
      <xdr:spPr>
        <a:xfrm>
          <a:off x="127000" y="1260475"/>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xdr:col>
      <xdr:colOff>152400</xdr:colOff>
      <xdr:row>4</xdr:row>
      <xdr:rowOff>101600</xdr:rowOff>
    </xdr:from>
    <xdr:to>
      <xdr:col>4</xdr:col>
      <xdr:colOff>482600</xdr:colOff>
      <xdr:row>5</xdr:row>
      <xdr:rowOff>152400</xdr:rowOff>
    </xdr:to>
    <xdr:sp macro="" textlink="">
      <xdr:nvSpPr>
        <xdr:cNvPr id="8" name="TextBox 7">
          <a:extLst>
            <a:ext uri="{FF2B5EF4-FFF2-40B4-BE49-F238E27FC236}">
              <a16:creationId xmlns:a16="http://schemas.microsoft.com/office/drawing/2014/main" id="{57B00E72-7CF5-3307-863B-15DDA4B74AED}"/>
            </a:ext>
          </a:extLst>
        </xdr:cNvPr>
        <xdr:cNvSpPr txBox="1"/>
      </xdr:nvSpPr>
      <xdr:spPr>
        <a:xfrm>
          <a:off x="685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Total Expenses</a:t>
          </a:r>
        </a:p>
      </xdr:txBody>
    </xdr:sp>
    <xdr:clientData/>
  </xdr:twoCellAnchor>
  <xdr:twoCellAnchor>
    <xdr:from>
      <xdr:col>1</xdr:col>
      <xdr:colOff>152400</xdr:colOff>
      <xdr:row>5</xdr:row>
      <xdr:rowOff>139700</xdr:rowOff>
    </xdr:from>
    <xdr:to>
      <xdr:col>4</xdr:col>
      <xdr:colOff>482600</xdr:colOff>
      <xdr:row>7</xdr:row>
      <xdr:rowOff>114300</xdr:rowOff>
    </xdr:to>
    <xdr:sp macro="" textlink="Dashboard!$AF$2">
      <xdr:nvSpPr>
        <xdr:cNvPr id="9" name="TextBox 8">
          <a:extLst>
            <a:ext uri="{FF2B5EF4-FFF2-40B4-BE49-F238E27FC236}">
              <a16:creationId xmlns:a16="http://schemas.microsoft.com/office/drawing/2014/main" id="{C5483E7C-EDE2-04F2-E29D-CCE9A1F985EB}"/>
            </a:ext>
          </a:extLst>
        </xdr:cNvPr>
        <xdr:cNvSpPr txBox="1"/>
      </xdr:nvSpPr>
      <xdr:spPr>
        <a:xfrm>
          <a:off x="685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AC65F0A-E1F6-475B-9506-C84EC4FA00DE}" type="TxLink">
            <a:rPr lang="en-US" sz="2800" b="1" i="0" u="none" strike="noStrike">
              <a:solidFill>
                <a:srgbClr val="054A19"/>
              </a:solidFill>
              <a:latin typeface="Aptos"/>
            </a:rPr>
            <a:t>15,951K</a:t>
          </a:fld>
          <a:endParaRPr lang="en-US" sz="2800" b="1">
            <a:solidFill>
              <a:srgbClr val="054A19"/>
            </a:solidFill>
          </a:endParaRPr>
        </a:p>
      </xdr:txBody>
    </xdr:sp>
    <xdr:clientData/>
  </xdr:twoCellAnchor>
  <xdr:twoCellAnchor>
    <xdr:from>
      <xdr:col>1</xdr:col>
      <xdr:colOff>152400</xdr:colOff>
      <xdr:row>7</xdr:row>
      <xdr:rowOff>50800</xdr:rowOff>
    </xdr:from>
    <xdr:to>
      <xdr:col>4</xdr:col>
      <xdr:colOff>482600</xdr:colOff>
      <xdr:row>7</xdr:row>
      <xdr:rowOff>215900</xdr:rowOff>
    </xdr:to>
    <xdr:sp macro="" textlink="">
      <xdr:nvSpPr>
        <xdr:cNvPr id="10" name="TextBox 9">
          <a:extLst>
            <a:ext uri="{FF2B5EF4-FFF2-40B4-BE49-F238E27FC236}">
              <a16:creationId xmlns:a16="http://schemas.microsoft.com/office/drawing/2014/main" id="{4C9F0EBD-C749-7C4B-8861-B35E1674BC24}"/>
            </a:ext>
          </a:extLst>
        </xdr:cNvPr>
        <xdr:cNvSpPr txBox="1"/>
      </xdr:nvSpPr>
      <xdr:spPr>
        <a:xfrm>
          <a:off x="685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F97C9847-B68D-ACAF-A0D4-18AAD8C413A0}"/>
            </a:ext>
          </a:extLst>
        </xdr:cNvPr>
        <xdr:cNvSpPr/>
      </xdr:nvSpPr>
      <xdr:spPr>
        <a:xfrm>
          <a:off x="2667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127000</xdr:colOff>
      <xdr:row>4</xdr:row>
      <xdr:rowOff>203200</xdr:rowOff>
    </xdr:from>
    <xdr:to>
      <xdr:col>6</xdr:col>
      <xdr:colOff>76200</xdr:colOff>
      <xdr:row>7</xdr:row>
      <xdr:rowOff>0</xdr:rowOff>
    </xdr:to>
    <xdr:sp macro="" textlink="">
      <xdr:nvSpPr>
        <xdr:cNvPr id="12" name="Oval 11">
          <a:extLst>
            <a:ext uri="{FF2B5EF4-FFF2-40B4-BE49-F238E27FC236}">
              <a16:creationId xmlns:a16="http://schemas.microsoft.com/office/drawing/2014/main" id="{57A97D4B-EF43-4E44-4020-95E0BAF0E2F3}"/>
            </a:ext>
          </a:extLst>
        </xdr:cNvPr>
        <xdr:cNvSpPr/>
      </xdr:nvSpPr>
      <xdr:spPr>
        <a:xfrm>
          <a:off x="2794000" y="1260475"/>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6</xdr:col>
      <xdr:colOff>152400</xdr:colOff>
      <xdr:row>4</xdr:row>
      <xdr:rowOff>101600</xdr:rowOff>
    </xdr:from>
    <xdr:to>
      <xdr:col>9</xdr:col>
      <xdr:colOff>482600</xdr:colOff>
      <xdr:row>5</xdr:row>
      <xdr:rowOff>152400</xdr:rowOff>
    </xdr:to>
    <xdr:sp macro="" textlink="">
      <xdr:nvSpPr>
        <xdr:cNvPr id="13" name="TextBox 12">
          <a:extLst>
            <a:ext uri="{FF2B5EF4-FFF2-40B4-BE49-F238E27FC236}">
              <a16:creationId xmlns:a16="http://schemas.microsoft.com/office/drawing/2014/main" id="{543BEDA5-D7CA-D07C-D011-0F63CE8EBBD2}"/>
            </a:ext>
          </a:extLst>
        </xdr:cNvPr>
        <xdr:cNvSpPr txBox="1"/>
      </xdr:nvSpPr>
      <xdr:spPr>
        <a:xfrm>
          <a:off x="3352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Allocated</a:t>
          </a:r>
        </a:p>
      </xdr:txBody>
    </xdr:sp>
    <xdr:clientData/>
  </xdr:twoCellAnchor>
  <xdr:twoCellAnchor>
    <xdr:from>
      <xdr:col>6</xdr:col>
      <xdr:colOff>152400</xdr:colOff>
      <xdr:row>5</xdr:row>
      <xdr:rowOff>139700</xdr:rowOff>
    </xdr:from>
    <xdr:to>
      <xdr:col>9</xdr:col>
      <xdr:colOff>482600</xdr:colOff>
      <xdr:row>7</xdr:row>
      <xdr:rowOff>114300</xdr:rowOff>
    </xdr:to>
    <xdr:sp macro="" textlink="Dashboard!$AF$3">
      <xdr:nvSpPr>
        <xdr:cNvPr id="14" name="TextBox 13">
          <a:extLst>
            <a:ext uri="{FF2B5EF4-FFF2-40B4-BE49-F238E27FC236}">
              <a16:creationId xmlns:a16="http://schemas.microsoft.com/office/drawing/2014/main" id="{3546348F-52E2-3EF4-2654-2A9D14844F2C}"/>
            </a:ext>
          </a:extLst>
        </xdr:cNvPr>
        <xdr:cNvSpPr txBox="1"/>
      </xdr:nvSpPr>
      <xdr:spPr>
        <a:xfrm>
          <a:off x="3352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E70D1B8-F393-409F-93DC-AE2A8C6523EB}" type="TxLink">
            <a:rPr lang="en-US" sz="2800" b="1" i="0" u="none" strike="noStrike">
              <a:solidFill>
                <a:srgbClr val="054A19"/>
              </a:solidFill>
              <a:latin typeface="Aptos"/>
            </a:rPr>
            <a:t>19,806K</a:t>
          </a:fld>
          <a:endParaRPr lang="en-US" sz="2800" b="1">
            <a:solidFill>
              <a:srgbClr val="054A19"/>
            </a:solidFill>
          </a:endParaRPr>
        </a:p>
      </xdr:txBody>
    </xdr:sp>
    <xdr:clientData/>
  </xdr:twoCellAnchor>
  <xdr:twoCellAnchor>
    <xdr:from>
      <xdr:col>6</xdr:col>
      <xdr:colOff>152400</xdr:colOff>
      <xdr:row>7</xdr:row>
      <xdr:rowOff>50800</xdr:rowOff>
    </xdr:from>
    <xdr:to>
      <xdr:col>9</xdr:col>
      <xdr:colOff>482600</xdr:colOff>
      <xdr:row>7</xdr:row>
      <xdr:rowOff>215900</xdr:rowOff>
    </xdr:to>
    <xdr:sp macro="" textlink="">
      <xdr:nvSpPr>
        <xdr:cNvPr id="15" name="TextBox 14">
          <a:extLst>
            <a:ext uri="{FF2B5EF4-FFF2-40B4-BE49-F238E27FC236}">
              <a16:creationId xmlns:a16="http://schemas.microsoft.com/office/drawing/2014/main" id="{E72479EB-4902-EE58-0366-C8B920A293E0}"/>
            </a:ext>
          </a:extLst>
        </xdr:cNvPr>
        <xdr:cNvSpPr txBox="1"/>
      </xdr:nvSpPr>
      <xdr:spPr>
        <a:xfrm>
          <a:off x="3352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E1BDF269-F36D-282C-57FD-5339CBAC3808}"/>
            </a:ext>
          </a:extLst>
        </xdr:cNvPr>
        <xdr:cNvSpPr/>
      </xdr:nvSpPr>
      <xdr:spPr>
        <a:xfrm>
          <a:off x="5334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127000</xdr:colOff>
      <xdr:row>4</xdr:row>
      <xdr:rowOff>203200</xdr:rowOff>
    </xdr:from>
    <xdr:to>
      <xdr:col>11</xdr:col>
      <xdr:colOff>76200</xdr:colOff>
      <xdr:row>7</xdr:row>
      <xdr:rowOff>0</xdr:rowOff>
    </xdr:to>
    <xdr:sp macro="" textlink="">
      <xdr:nvSpPr>
        <xdr:cNvPr id="17" name="Oval 16">
          <a:extLst>
            <a:ext uri="{FF2B5EF4-FFF2-40B4-BE49-F238E27FC236}">
              <a16:creationId xmlns:a16="http://schemas.microsoft.com/office/drawing/2014/main" id="{C2ADFE1E-8DCD-2E80-C39D-DCCB2A2C8015}"/>
            </a:ext>
          </a:extLst>
        </xdr:cNvPr>
        <xdr:cNvSpPr/>
      </xdr:nvSpPr>
      <xdr:spPr>
        <a:xfrm>
          <a:off x="5461000" y="1260475"/>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11</xdr:col>
      <xdr:colOff>152400</xdr:colOff>
      <xdr:row>4</xdr:row>
      <xdr:rowOff>101600</xdr:rowOff>
    </xdr:from>
    <xdr:to>
      <xdr:col>14</xdr:col>
      <xdr:colOff>482600</xdr:colOff>
      <xdr:row>5</xdr:row>
      <xdr:rowOff>152400</xdr:rowOff>
    </xdr:to>
    <xdr:sp macro="" textlink="">
      <xdr:nvSpPr>
        <xdr:cNvPr id="18" name="TextBox 17">
          <a:extLst>
            <a:ext uri="{FF2B5EF4-FFF2-40B4-BE49-F238E27FC236}">
              <a16:creationId xmlns:a16="http://schemas.microsoft.com/office/drawing/2014/main" id="{B1B03121-A794-9356-8382-6777315951F7}"/>
            </a:ext>
          </a:extLst>
        </xdr:cNvPr>
        <xdr:cNvSpPr txBox="1"/>
      </xdr:nvSpPr>
      <xdr:spPr>
        <a:xfrm>
          <a:off x="6019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Remaining</a:t>
          </a:r>
        </a:p>
      </xdr:txBody>
    </xdr:sp>
    <xdr:clientData/>
  </xdr:twoCellAnchor>
  <xdr:twoCellAnchor>
    <xdr:from>
      <xdr:col>11</xdr:col>
      <xdr:colOff>152400</xdr:colOff>
      <xdr:row>5</xdr:row>
      <xdr:rowOff>139700</xdr:rowOff>
    </xdr:from>
    <xdr:to>
      <xdr:col>14</xdr:col>
      <xdr:colOff>482600</xdr:colOff>
      <xdr:row>7</xdr:row>
      <xdr:rowOff>114300</xdr:rowOff>
    </xdr:to>
    <xdr:sp macro="" textlink="Dashboard!$AF$4">
      <xdr:nvSpPr>
        <xdr:cNvPr id="19" name="TextBox 18">
          <a:extLst>
            <a:ext uri="{FF2B5EF4-FFF2-40B4-BE49-F238E27FC236}">
              <a16:creationId xmlns:a16="http://schemas.microsoft.com/office/drawing/2014/main" id="{B3B5CE83-E248-B94D-4225-BDD85431E697}"/>
            </a:ext>
          </a:extLst>
        </xdr:cNvPr>
        <xdr:cNvSpPr txBox="1"/>
      </xdr:nvSpPr>
      <xdr:spPr>
        <a:xfrm>
          <a:off x="6019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CA66835-7B85-4070-A057-24B358B7E784}" type="TxLink">
            <a:rPr lang="en-US" sz="2800" b="1" i="0" u="none" strike="noStrike">
              <a:solidFill>
                <a:srgbClr val="054A19"/>
              </a:solidFill>
              <a:latin typeface="Aptos"/>
            </a:rPr>
            <a:t>3,854K</a:t>
          </a:fld>
          <a:endParaRPr lang="en-US" sz="2800" b="1">
            <a:solidFill>
              <a:srgbClr val="054A19"/>
            </a:solidFill>
          </a:endParaRPr>
        </a:p>
      </xdr:txBody>
    </xdr:sp>
    <xdr:clientData/>
  </xdr:twoCellAnchor>
  <xdr:twoCellAnchor>
    <xdr:from>
      <xdr:col>11</xdr:col>
      <xdr:colOff>152400</xdr:colOff>
      <xdr:row>7</xdr:row>
      <xdr:rowOff>50800</xdr:rowOff>
    </xdr:from>
    <xdr:to>
      <xdr:col>14</xdr:col>
      <xdr:colOff>482600</xdr:colOff>
      <xdr:row>7</xdr:row>
      <xdr:rowOff>215900</xdr:rowOff>
    </xdr:to>
    <xdr:sp macro="" textlink="">
      <xdr:nvSpPr>
        <xdr:cNvPr id="20" name="TextBox 19">
          <a:extLst>
            <a:ext uri="{FF2B5EF4-FFF2-40B4-BE49-F238E27FC236}">
              <a16:creationId xmlns:a16="http://schemas.microsoft.com/office/drawing/2014/main" id="{DA6F03AD-81E1-427A-89E1-C618B1DB3ECE}"/>
            </a:ext>
          </a:extLst>
        </xdr:cNvPr>
        <xdr:cNvSpPr txBox="1"/>
      </xdr:nvSpPr>
      <xdr:spPr>
        <a:xfrm>
          <a:off x="6019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D4374ABD-DB7D-4112-0E0A-6867C8B35499}"/>
            </a:ext>
          </a:extLst>
        </xdr:cNvPr>
        <xdr:cNvSpPr/>
      </xdr:nvSpPr>
      <xdr:spPr>
        <a:xfrm>
          <a:off x="8001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127000</xdr:colOff>
      <xdr:row>4</xdr:row>
      <xdr:rowOff>203200</xdr:rowOff>
    </xdr:from>
    <xdr:to>
      <xdr:col>16</xdr:col>
      <xdr:colOff>76200</xdr:colOff>
      <xdr:row>7</xdr:row>
      <xdr:rowOff>0</xdr:rowOff>
    </xdr:to>
    <xdr:sp macro="" textlink="">
      <xdr:nvSpPr>
        <xdr:cNvPr id="22" name="Oval 21">
          <a:extLst>
            <a:ext uri="{FF2B5EF4-FFF2-40B4-BE49-F238E27FC236}">
              <a16:creationId xmlns:a16="http://schemas.microsoft.com/office/drawing/2014/main" id="{477D3D91-317C-23FE-B019-970F17809791}"/>
            </a:ext>
          </a:extLst>
        </xdr:cNvPr>
        <xdr:cNvSpPr/>
      </xdr:nvSpPr>
      <xdr:spPr>
        <a:xfrm>
          <a:off x="8128000" y="1260475"/>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16</xdr:col>
      <xdr:colOff>152400</xdr:colOff>
      <xdr:row>4</xdr:row>
      <xdr:rowOff>101600</xdr:rowOff>
    </xdr:from>
    <xdr:to>
      <xdr:col>19</xdr:col>
      <xdr:colOff>482600</xdr:colOff>
      <xdr:row>5</xdr:row>
      <xdr:rowOff>152400</xdr:rowOff>
    </xdr:to>
    <xdr:sp macro="" textlink="">
      <xdr:nvSpPr>
        <xdr:cNvPr id="23" name="TextBox 22">
          <a:extLst>
            <a:ext uri="{FF2B5EF4-FFF2-40B4-BE49-F238E27FC236}">
              <a16:creationId xmlns:a16="http://schemas.microsoft.com/office/drawing/2014/main" id="{30BDAC66-F353-1097-BA53-849C8456B07D}"/>
            </a:ext>
          </a:extLst>
        </xdr:cNvPr>
        <xdr:cNvSpPr txBox="1"/>
      </xdr:nvSpPr>
      <xdr:spPr>
        <a:xfrm>
          <a:off x="8686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Transactions</a:t>
          </a:r>
        </a:p>
      </xdr:txBody>
    </xdr:sp>
    <xdr:clientData/>
  </xdr:twoCellAnchor>
  <xdr:twoCellAnchor>
    <xdr:from>
      <xdr:col>16</xdr:col>
      <xdr:colOff>152400</xdr:colOff>
      <xdr:row>5</xdr:row>
      <xdr:rowOff>139700</xdr:rowOff>
    </xdr:from>
    <xdr:to>
      <xdr:col>19</xdr:col>
      <xdr:colOff>482600</xdr:colOff>
      <xdr:row>7</xdr:row>
      <xdr:rowOff>114300</xdr:rowOff>
    </xdr:to>
    <xdr:sp macro="" textlink="Dashboard!$AF$5">
      <xdr:nvSpPr>
        <xdr:cNvPr id="24" name="TextBox 23">
          <a:extLst>
            <a:ext uri="{FF2B5EF4-FFF2-40B4-BE49-F238E27FC236}">
              <a16:creationId xmlns:a16="http://schemas.microsoft.com/office/drawing/2014/main" id="{3181684F-89BF-C4BE-2A55-0C1F297FD3CA}"/>
            </a:ext>
          </a:extLst>
        </xdr:cNvPr>
        <xdr:cNvSpPr txBox="1"/>
      </xdr:nvSpPr>
      <xdr:spPr>
        <a:xfrm>
          <a:off x="8686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5E464A1-86B8-4EC5-AA09-8BBF528B91C6}" type="TxLink">
            <a:rPr lang="en-US" sz="2800" b="1" i="0" u="none" strike="noStrike">
              <a:solidFill>
                <a:srgbClr val="054A19"/>
              </a:solidFill>
              <a:latin typeface="Aptos"/>
            </a:rPr>
            <a:t>349</a:t>
          </a:fld>
          <a:endParaRPr lang="en-US" sz="2800" b="1">
            <a:solidFill>
              <a:srgbClr val="054A19"/>
            </a:solidFill>
          </a:endParaRPr>
        </a:p>
      </xdr:txBody>
    </xdr:sp>
    <xdr:clientData/>
  </xdr:twoCellAnchor>
  <xdr:twoCellAnchor>
    <xdr:from>
      <xdr:col>16</xdr:col>
      <xdr:colOff>152400</xdr:colOff>
      <xdr:row>7</xdr:row>
      <xdr:rowOff>50800</xdr:rowOff>
    </xdr:from>
    <xdr:to>
      <xdr:col>19</xdr:col>
      <xdr:colOff>482600</xdr:colOff>
      <xdr:row>7</xdr:row>
      <xdr:rowOff>215900</xdr:rowOff>
    </xdr:to>
    <xdr:sp macro="" textlink="">
      <xdr:nvSpPr>
        <xdr:cNvPr id="25" name="TextBox 24">
          <a:extLst>
            <a:ext uri="{FF2B5EF4-FFF2-40B4-BE49-F238E27FC236}">
              <a16:creationId xmlns:a16="http://schemas.microsoft.com/office/drawing/2014/main" id="{005CB601-24EE-EFAF-3887-C01695FC07E4}"/>
            </a:ext>
          </a:extLst>
        </xdr:cNvPr>
        <xdr:cNvSpPr txBox="1"/>
      </xdr:nvSpPr>
      <xdr:spPr>
        <a:xfrm>
          <a:off x="8686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31FF5BBB-197D-0F75-FE69-E249A439B775}"/>
            </a:ext>
          </a:extLst>
        </xdr:cNvPr>
        <xdr:cNvSpPr/>
      </xdr:nvSpPr>
      <xdr:spPr>
        <a:xfrm>
          <a:off x="10668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127000</xdr:colOff>
      <xdr:row>4</xdr:row>
      <xdr:rowOff>203200</xdr:rowOff>
    </xdr:from>
    <xdr:to>
      <xdr:col>21</xdr:col>
      <xdr:colOff>76200</xdr:colOff>
      <xdr:row>7</xdr:row>
      <xdr:rowOff>0</xdr:rowOff>
    </xdr:to>
    <xdr:sp macro="" textlink="">
      <xdr:nvSpPr>
        <xdr:cNvPr id="27" name="Oval 26">
          <a:extLst>
            <a:ext uri="{FF2B5EF4-FFF2-40B4-BE49-F238E27FC236}">
              <a16:creationId xmlns:a16="http://schemas.microsoft.com/office/drawing/2014/main" id="{C20EB638-DD25-47A5-6552-2BD58B25C193}"/>
            </a:ext>
          </a:extLst>
        </xdr:cNvPr>
        <xdr:cNvSpPr/>
      </xdr:nvSpPr>
      <xdr:spPr>
        <a:xfrm>
          <a:off x="10795000" y="1260475"/>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O</a:t>
          </a:r>
        </a:p>
      </xdr:txBody>
    </xdr:sp>
    <xdr:clientData/>
  </xdr:twoCellAnchor>
  <xdr:twoCellAnchor>
    <xdr:from>
      <xdr:col>21</xdr:col>
      <xdr:colOff>152400</xdr:colOff>
      <xdr:row>4</xdr:row>
      <xdr:rowOff>101600</xdr:rowOff>
    </xdr:from>
    <xdr:to>
      <xdr:col>24</xdr:col>
      <xdr:colOff>482600</xdr:colOff>
      <xdr:row>5</xdr:row>
      <xdr:rowOff>152400</xdr:rowOff>
    </xdr:to>
    <xdr:sp macro="" textlink="">
      <xdr:nvSpPr>
        <xdr:cNvPr id="28" name="TextBox 27">
          <a:extLst>
            <a:ext uri="{FF2B5EF4-FFF2-40B4-BE49-F238E27FC236}">
              <a16:creationId xmlns:a16="http://schemas.microsoft.com/office/drawing/2014/main" id="{34CDEAF8-5386-F5A7-CA82-09EC010CCD4F}"/>
            </a:ext>
          </a:extLst>
        </xdr:cNvPr>
        <xdr:cNvSpPr txBox="1"/>
      </xdr:nvSpPr>
      <xdr:spPr>
        <a:xfrm>
          <a:off x="11353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Approval Rate</a:t>
          </a:r>
        </a:p>
      </xdr:txBody>
    </xdr:sp>
    <xdr:clientData/>
  </xdr:twoCellAnchor>
  <xdr:twoCellAnchor>
    <xdr:from>
      <xdr:col>21</xdr:col>
      <xdr:colOff>152400</xdr:colOff>
      <xdr:row>5</xdr:row>
      <xdr:rowOff>139700</xdr:rowOff>
    </xdr:from>
    <xdr:to>
      <xdr:col>24</xdr:col>
      <xdr:colOff>482600</xdr:colOff>
      <xdr:row>7</xdr:row>
      <xdr:rowOff>114300</xdr:rowOff>
    </xdr:to>
    <xdr:sp macro="" textlink="Dashboard!$AF$6">
      <xdr:nvSpPr>
        <xdr:cNvPr id="29" name="TextBox 28">
          <a:extLst>
            <a:ext uri="{FF2B5EF4-FFF2-40B4-BE49-F238E27FC236}">
              <a16:creationId xmlns:a16="http://schemas.microsoft.com/office/drawing/2014/main" id="{CD18DF73-E051-E812-74A3-A69E47E139D9}"/>
            </a:ext>
          </a:extLst>
        </xdr:cNvPr>
        <xdr:cNvSpPr txBox="1"/>
      </xdr:nvSpPr>
      <xdr:spPr>
        <a:xfrm>
          <a:off x="11353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BED5FB7-177F-43A9-B67A-62439470A45E}" type="TxLink">
            <a:rPr lang="en-US" sz="2800" b="1" i="0" u="none" strike="noStrike">
              <a:solidFill>
                <a:srgbClr val="054A19"/>
              </a:solidFill>
              <a:latin typeface="Aptos"/>
            </a:rPr>
            <a:t>80.8%</a:t>
          </a:fld>
          <a:endParaRPr lang="en-US" sz="2800" b="1">
            <a:solidFill>
              <a:srgbClr val="054A19"/>
            </a:solidFill>
          </a:endParaRPr>
        </a:p>
      </xdr:txBody>
    </xdr:sp>
    <xdr:clientData/>
  </xdr:twoCellAnchor>
  <xdr:twoCellAnchor>
    <xdr:from>
      <xdr:col>21</xdr:col>
      <xdr:colOff>152400</xdr:colOff>
      <xdr:row>7</xdr:row>
      <xdr:rowOff>50800</xdr:rowOff>
    </xdr:from>
    <xdr:to>
      <xdr:col>24</xdr:col>
      <xdr:colOff>482600</xdr:colOff>
      <xdr:row>7</xdr:row>
      <xdr:rowOff>215900</xdr:rowOff>
    </xdr:to>
    <xdr:sp macro="" textlink="">
      <xdr:nvSpPr>
        <xdr:cNvPr id="30" name="TextBox 29">
          <a:extLst>
            <a:ext uri="{FF2B5EF4-FFF2-40B4-BE49-F238E27FC236}">
              <a16:creationId xmlns:a16="http://schemas.microsoft.com/office/drawing/2014/main" id="{6B1E2C49-BE70-45B3-A4A2-120A2521FCA7}"/>
            </a:ext>
          </a:extLst>
        </xdr:cNvPr>
        <xdr:cNvSpPr txBox="1"/>
      </xdr:nvSpPr>
      <xdr:spPr>
        <a:xfrm>
          <a:off x="11353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F88FC5E6-3302-15EC-5DC1-12B670A62D3E}"/>
            </a:ext>
          </a:extLst>
        </xdr:cNvPr>
        <xdr:cNvSpPr/>
      </xdr:nvSpPr>
      <xdr:spPr>
        <a:xfrm>
          <a:off x="13335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127000</xdr:colOff>
      <xdr:row>4</xdr:row>
      <xdr:rowOff>203200</xdr:rowOff>
    </xdr:from>
    <xdr:to>
      <xdr:col>26</xdr:col>
      <xdr:colOff>76200</xdr:colOff>
      <xdr:row>7</xdr:row>
      <xdr:rowOff>0</xdr:rowOff>
    </xdr:to>
    <xdr:sp macro="" textlink="">
      <xdr:nvSpPr>
        <xdr:cNvPr id="32" name="Oval 31">
          <a:extLst>
            <a:ext uri="{FF2B5EF4-FFF2-40B4-BE49-F238E27FC236}">
              <a16:creationId xmlns:a16="http://schemas.microsoft.com/office/drawing/2014/main" id="{82104492-1A91-03CA-E331-EB73B387E7BC}"/>
            </a:ext>
          </a:extLst>
        </xdr:cNvPr>
        <xdr:cNvSpPr/>
      </xdr:nvSpPr>
      <xdr:spPr>
        <a:xfrm>
          <a:off x="13462000" y="1260475"/>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26</xdr:col>
      <xdr:colOff>152400</xdr:colOff>
      <xdr:row>4</xdr:row>
      <xdr:rowOff>101600</xdr:rowOff>
    </xdr:from>
    <xdr:to>
      <xdr:col>29</xdr:col>
      <xdr:colOff>482600</xdr:colOff>
      <xdr:row>5</xdr:row>
      <xdr:rowOff>152400</xdr:rowOff>
    </xdr:to>
    <xdr:sp macro="" textlink="">
      <xdr:nvSpPr>
        <xdr:cNvPr id="33" name="TextBox 32">
          <a:extLst>
            <a:ext uri="{FF2B5EF4-FFF2-40B4-BE49-F238E27FC236}">
              <a16:creationId xmlns:a16="http://schemas.microsoft.com/office/drawing/2014/main" id="{C4A8ACEB-A768-26CD-EB02-D6639ABD5C7F}"/>
            </a:ext>
          </a:extLst>
        </xdr:cNvPr>
        <xdr:cNvSpPr txBox="1"/>
      </xdr:nvSpPr>
      <xdr:spPr>
        <a:xfrm>
          <a:off x="14020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Avg Expense</a:t>
          </a:r>
        </a:p>
      </xdr:txBody>
    </xdr:sp>
    <xdr:clientData/>
  </xdr:twoCellAnchor>
  <xdr:twoCellAnchor>
    <xdr:from>
      <xdr:col>26</xdr:col>
      <xdr:colOff>152400</xdr:colOff>
      <xdr:row>5</xdr:row>
      <xdr:rowOff>139700</xdr:rowOff>
    </xdr:from>
    <xdr:to>
      <xdr:col>29</xdr:col>
      <xdr:colOff>482600</xdr:colOff>
      <xdr:row>7</xdr:row>
      <xdr:rowOff>114300</xdr:rowOff>
    </xdr:to>
    <xdr:sp macro="" textlink="Dashboard!$AF$7">
      <xdr:nvSpPr>
        <xdr:cNvPr id="34" name="TextBox 33">
          <a:extLst>
            <a:ext uri="{FF2B5EF4-FFF2-40B4-BE49-F238E27FC236}">
              <a16:creationId xmlns:a16="http://schemas.microsoft.com/office/drawing/2014/main" id="{EB7D5A40-6B39-C4A6-A891-29DA42888A2A}"/>
            </a:ext>
          </a:extLst>
        </xdr:cNvPr>
        <xdr:cNvSpPr txBox="1"/>
      </xdr:nvSpPr>
      <xdr:spPr>
        <a:xfrm>
          <a:off x="14020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4891809-0C7C-43E3-A3D9-A1B87301F10D}" type="TxLink">
            <a:rPr lang="en-US" sz="2800" b="1" i="0" u="none" strike="noStrike">
              <a:solidFill>
                <a:srgbClr val="054A19"/>
              </a:solidFill>
              <a:latin typeface="Aptos"/>
            </a:rPr>
            <a:t>46K</a:t>
          </a:fld>
          <a:endParaRPr lang="en-US" sz="2800" b="1">
            <a:solidFill>
              <a:srgbClr val="054A19"/>
            </a:solidFill>
          </a:endParaRPr>
        </a:p>
      </xdr:txBody>
    </xdr:sp>
    <xdr:clientData/>
  </xdr:twoCellAnchor>
  <xdr:twoCellAnchor>
    <xdr:from>
      <xdr:col>26</xdr:col>
      <xdr:colOff>152400</xdr:colOff>
      <xdr:row>7</xdr:row>
      <xdr:rowOff>50800</xdr:rowOff>
    </xdr:from>
    <xdr:to>
      <xdr:col>29</xdr:col>
      <xdr:colOff>482600</xdr:colOff>
      <xdr:row>7</xdr:row>
      <xdr:rowOff>215900</xdr:rowOff>
    </xdr:to>
    <xdr:sp macro="" textlink="">
      <xdr:nvSpPr>
        <xdr:cNvPr id="35" name="TextBox 34">
          <a:extLst>
            <a:ext uri="{FF2B5EF4-FFF2-40B4-BE49-F238E27FC236}">
              <a16:creationId xmlns:a16="http://schemas.microsoft.com/office/drawing/2014/main" id="{50C1FFC6-BA72-F4B8-6C27-DB0615DBD1E8}"/>
            </a:ext>
          </a:extLst>
        </xdr:cNvPr>
        <xdr:cNvSpPr txBox="1"/>
      </xdr:nvSpPr>
      <xdr:spPr>
        <a:xfrm>
          <a:off x="14020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Per Transaction</a:t>
          </a:r>
        </a:p>
      </xdr:txBody>
    </xdr:sp>
    <xdr:clientData/>
  </xdr:twoCellAnchor>
  <xdr:twoCellAnchor>
    <xdr:from>
      <xdr:col>0</xdr:col>
      <xdr:colOff>0</xdr:colOff>
      <xdr:row>9</xdr:row>
      <xdr:rowOff>0</xdr:rowOff>
    </xdr:from>
    <xdr:to>
      <xdr:col>11</xdr:col>
      <xdr:colOff>502418</xdr:colOff>
      <xdr:row>18</xdr:row>
      <xdr:rowOff>157006</xdr:rowOff>
    </xdr:to>
    <xdr:graphicFrame macro="">
      <xdr:nvGraphicFramePr>
        <xdr:cNvPr id="36" name="Chart 35">
          <a:extLst>
            <a:ext uri="{FF2B5EF4-FFF2-40B4-BE49-F238E27FC236}">
              <a16:creationId xmlns:a16="http://schemas.microsoft.com/office/drawing/2014/main" id="{86795332-D08C-7F9A-9493-92A50215EC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136072</xdr:rowOff>
    </xdr:to>
    <xdr:graphicFrame macro="">
      <xdr:nvGraphicFramePr>
        <xdr:cNvPr id="37" name="Chart 36">
          <a:extLst>
            <a:ext uri="{FF2B5EF4-FFF2-40B4-BE49-F238E27FC236}">
              <a16:creationId xmlns:a16="http://schemas.microsoft.com/office/drawing/2014/main" id="{817DED9F-8C58-1140-D637-F2C0E4F832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188407</xdr:rowOff>
    </xdr:from>
    <xdr:to>
      <xdr:col>12</xdr:col>
      <xdr:colOff>0</xdr:colOff>
      <xdr:row>28</xdr:row>
      <xdr:rowOff>188407</xdr:rowOff>
    </xdr:to>
    <xdr:graphicFrame macro="">
      <xdr:nvGraphicFramePr>
        <xdr:cNvPr id="38" name="Chart 37">
          <a:extLst>
            <a:ext uri="{FF2B5EF4-FFF2-40B4-BE49-F238E27FC236}">
              <a16:creationId xmlns:a16="http://schemas.microsoft.com/office/drawing/2014/main" id="{F85BD88C-263E-C512-C2B8-F6C3DD5727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20936</xdr:colOff>
      <xdr:row>18</xdr:row>
      <xdr:rowOff>188407</xdr:rowOff>
    </xdr:from>
    <xdr:to>
      <xdr:col>21</xdr:col>
      <xdr:colOff>512886</xdr:colOff>
      <xdr:row>28</xdr:row>
      <xdr:rowOff>188407</xdr:rowOff>
    </xdr:to>
    <xdr:graphicFrame macro="">
      <xdr:nvGraphicFramePr>
        <xdr:cNvPr id="39" name="Chart 38">
          <a:extLst>
            <a:ext uri="{FF2B5EF4-FFF2-40B4-BE49-F238E27FC236}">
              <a16:creationId xmlns:a16="http://schemas.microsoft.com/office/drawing/2014/main" id="{55324D24-4D61-AB0E-0E3F-B2623938A9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41868</xdr:colOff>
      <xdr:row>18</xdr:row>
      <xdr:rowOff>188407</xdr:rowOff>
    </xdr:from>
    <xdr:to>
      <xdr:col>30</xdr:col>
      <xdr:colOff>115138</xdr:colOff>
      <xdr:row>28</xdr:row>
      <xdr:rowOff>177939</xdr:rowOff>
    </xdr:to>
    <xdr:graphicFrame macro="">
      <xdr:nvGraphicFramePr>
        <xdr:cNvPr id="40" name="Chart 39">
          <a:extLst>
            <a:ext uri="{FF2B5EF4-FFF2-40B4-BE49-F238E27FC236}">
              <a16:creationId xmlns:a16="http://schemas.microsoft.com/office/drawing/2014/main" id="{4B76AEFC-AF31-F8B9-277C-C3D313B960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59871</xdr:colOff>
      <xdr:row>8</xdr:row>
      <xdr:rowOff>227239</xdr:rowOff>
    </xdr:from>
    <xdr:to>
      <xdr:col>30</xdr:col>
      <xdr:colOff>81643</xdr:colOff>
      <xdr:row>14</xdr:row>
      <xdr:rowOff>83736</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A2897490-F5CB-21A0-6C6A-EC1C5ECDF62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1803882" y="2195041"/>
              <a:ext cx="4292321" cy="12381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59871</xdr:colOff>
      <xdr:row>14</xdr:row>
      <xdr:rowOff>188405</xdr:rowOff>
    </xdr:from>
    <xdr:to>
      <xdr:col>30</xdr:col>
      <xdr:colOff>81643</xdr:colOff>
      <xdr:row>18</xdr:row>
      <xdr:rowOff>146538</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8B300216-B6A3-E23A-230A-F15AA88C50C5}"/>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1803882" y="3537856"/>
              <a:ext cx="4292321" cy="8792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KESH" refreshedDate="46213.392570138887" createdVersion="3" refreshedVersion="8" minRefreshableVersion="3" recordCount="415" xr:uid="{DE230496-03A0-465E-BAE1-8A4BC93B6898}">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3642566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51D2FC-FCA9-4FDA-BCFF-37A66078E92E}" name="PT_BudgetVsActual"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25:F32" firstHeaderRow="1" firstDataRow="2" firstDataCol="1"/>
  <pivotFields count="13">
    <pivotField compact="0" outline="0" showAll="0"/>
    <pivotField compact="0" numFmtId="164" outline="0" showAll="0"/>
    <pivotField axis="axisRow" compact="0" outline="0" showAll="0">
      <items count="7">
        <item x="0"/>
        <item x="4"/>
        <item x="3"/>
        <item x="1"/>
        <item x="5"/>
        <item h="1"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6">
    <i>
      <x/>
    </i>
    <i>
      <x v="1"/>
    </i>
    <i>
      <x v="2"/>
    </i>
    <i>
      <x v="3"/>
    </i>
    <i>
      <x v="4"/>
    </i>
    <i t="grand">
      <x/>
    </i>
  </rowItems>
  <colFields count="1">
    <field x="-2"/>
  </colFields>
  <colItems count="2">
    <i>
      <x/>
    </i>
    <i i="1">
      <x v="1"/>
    </i>
  </colItems>
  <dataFields count="2">
    <dataField name="Actual Spent" fld="5" baseField="0" baseItem="0"/>
    <dataField name="Sum of Budget Allocated" fld="8" baseField="0" baseItem="0"/>
  </dataFields>
  <formats count="19">
    <format dxfId="3588">
      <pivotArea outline="0" collapsedLevelsAreSubtotals="1" fieldPosition="0"/>
    </format>
    <format dxfId="3587">
      <pivotArea type="all" dataOnly="0" outline="0" fieldPosition="0"/>
    </format>
    <format dxfId="3586">
      <pivotArea outline="0" collapsedLevelsAreSubtotals="1" fieldPosition="0"/>
    </format>
    <format dxfId="3585">
      <pivotArea type="origin" dataOnly="0" labelOnly="1" outline="0" fieldPosition="0"/>
    </format>
    <format dxfId="3584">
      <pivotArea field="-2" type="button" dataOnly="0" labelOnly="1" outline="0" axis="axisCol" fieldPosition="0"/>
    </format>
    <format dxfId="3583">
      <pivotArea type="topRight" dataOnly="0" labelOnly="1" outline="0" fieldPosition="0"/>
    </format>
    <format dxfId="3582">
      <pivotArea field="2" type="button" dataOnly="0" labelOnly="1" outline="0" axis="axisRow" fieldPosition="0"/>
    </format>
    <format dxfId="3581">
      <pivotArea dataOnly="0" labelOnly="1" outline="0" fieldPosition="0">
        <references count="1">
          <reference field="2" count="0"/>
        </references>
      </pivotArea>
    </format>
    <format dxfId="3580">
      <pivotArea dataOnly="0" labelOnly="1" grandRow="1" outline="0" fieldPosition="0"/>
    </format>
    <format dxfId="3579">
      <pivotArea dataOnly="0" labelOnly="1" outline="0" fieldPosition="0">
        <references count="1">
          <reference field="4294967294" count="2">
            <x v="0"/>
            <x v="1"/>
          </reference>
        </references>
      </pivotArea>
    </format>
    <format dxfId="3578">
      <pivotArea type="all" dataOnly="0" outline="0" fieldPosition="0"/>
    </format>
    <format dxfId="3577">
      <pivotArea outline="0" collapsedLevelsAreSubtotals="1" fieldPosition="0"/>
    </format>
    <format dxfId="3576">
      <pivotArea type="origin" dataOnly="0" labelOnly="1" outline="0" fieldPosition="0"/>
    </format>
    <format dxfId="3575">
      <pivotArea field="-2" type="button" dataOnly="0" labelOnly="1" outline="0" axis="axisCol" fieldPosition="0"/>
    </format>
    <format dxfId="3574">
      <pivotArea type="topRight" dataOnly="0" labelOnly="1" outline="0" fieldPosition="0"/>
    </format>
    <format dxfId="3573">
      <pivotArea field="2" type="button" dataOnly="0" labelOnly="1" outline="0" axis="axisRow" fieldPosition="0"/>
    </format>
    <format dxfId="3572">
      <pivotArea dataOnly="0" labelOnly="1" outline="0" fieldPosition="0">
        <references count="1">
          <reference field="2" count="0"/>
        </references>
      </pivotArea>
    </format>
    <format dxfId="3571">
      <pivotArea dataOnly="0" labelOnly="1" grandRow="1" outline="0" fieldPosition="0"/>
    </format>
    <format dxfId="357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8D7C5B-4AEE-4756-8B54-2A6D50E9E5FD}" name="PT_PaymentMethod"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h="1"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3">
    <format dxfId="3601">
      <pivotArea outline="0" collapsedLevelsAreSubtotals="1" fieldPosition="0"/>
    </format>
    <format dxfId="3600">
      <pivotArea type="all" dataOnly="0" outline="0" fieldPosition="0"/>
    </format>
    <format dxfId="3599">
      <pivotArea outline="0" collapsedLevelsAreSubtotals="1" fieldPosition="0"/>
    </format>
    <format dxfId="3598">
      <pivotArea field="6" type="button" dataOnly="0" labelOnly="1" outline="0" axis="axisRow" fieldPosition="0"/>
    </format>
    <format dxfId="3597">
      <pivotArea dataOnly="0" labelOnly="1" outline="0" fieldPosition="0">
        <references count="1">
          <reference field="6" count="0"/>
        </references>
      </pivotArea>
    </format>
    <format dxfId="3596">
      <pivotArea dataOnly="0" labelOnly="1" grandRow="1" outline="0" fieldPosition="0"/>
    </format>
    <format dxfId="3595">
      <pivotArea dataOnly="0" labelOnly="1" outline="0" axis="axisValues" fieldPosition="0"/>
    </format>
    <format dxfId="3594">
      <pivotArea type="all" dataOnly="0" outline="0" fieldPosition="0"/>
    </format>
    <format dxfId="3593">
      <pivotArea outline="0" collapsedLevelsAreSubtotals="1" fieldPosition="0"/>
    </format>
    <format dxfId="3592">
      <pivotArea field="6" type="button" dataOnly="0" labelOnly="1" outline="0" axis="axisRow" fieldPosition="0"/>
    </format>
    <format dxfId="3591">
      <pivotArea dataOnly="0" labelOnly="1" outline="0" fieldPosition="0">
        <references count="1">
          <reference field="6" count="0"/>
        </references>
      </pivotArea>
    </format>
    <format dxfId="3590">
      <pivotArea dataOnly="0" labelOnly="1" grandRow="1" outline="0" fieldPosition="0"/>
    </format>
    <format dxfId="3589">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1CFB61-E117-421D-8A7B-332EE45D8FF7}" name="PT_KPI" cacheId="66"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x="4"/>
        <item x="3"/>
        <item x="1"/>
        <item x="5"/>
        <item h="1"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dataField name="Sum of Budget Allocated" fld="8" baseField="0" baseItem="0"/>
    <dataField name="Sum of Budget Remaining" fld="9" baseField="0" baseItem="0"/>
    <dataField name="Count of Expense ID" fld="0" subtotal="count" baseField="0" baseItem="0" numFmtId="3"/>
  </dataFields>
  <formats count="12">
    <format dxfId="3613">
      <pivotArea outline="0" collapsedLevelsAreSubtotals="1" fieldPosition="0"/>
    </format>
    <format dxfId="3612">
      <pivotArea outline="0" collapsedLevelsAreSubtotals="1" fieldPosition="0">
        <references count="1">
          <reference field="4294967294" count="1" selected="0">
            <x v="3"/>
          </reference>
        </references>
      </pivotArea>
    </format>
    <format dxfId="3611">
      <pivotArea type="all" dataOnly="0" outline="0" fieldPosition="0"/>
    </format>
    <format dxfId="3610">
      <pivotArea outline="0" collapsedLevelsAreSubtotals="1" fieldPosition="0"/>
    </format>
    <format dxfId="3609">
      <pivotArea field="-2" type="button" dataOnly="0" labelOnly="1" outline="0" axis="axisCol" fieldPosition="0"/>
    </format>
    <format dxfId="3608">
      <pivotArea type="topRight" dataOnly="0" labelOnly="1" outline="0" fieldPosition="0"/>
    </format>
    <format dxfId="3607">
      <pivotArea dataOnly="0" labelOnly="1" outline="0" fieldPosition="0">
        <references count="1">
          <reference field="4294967294" count="4">
            <x v="0"/>
            <x v="1"/>
            <x v="2"/>
            <x v="3"/>
          </reference>
        </references>
      </pivotArea>
    </format>
    <format dxfId="3606">
      <pivotArea type="all" dataOnly="0" outline="0" fieldPosition="0"/>
    </format>
    <format dxfId="3605">
      <pivotArea outline="0" collapsedLevelsAreSubtotals="1" fieldPosition="0"/>
    </format>
    <format dxfId="3604">
      <pivotArea field="-2" type="button" dataOnly="0" labelOnly="1" outline="0" axis="axisCol" fieldPosition="0"/>
    </format>
    <format dxfId="3603">
      <pivotArea type="topRight" dataOnly="0" labelOnly="1" outline="0" fieldPosition="0"/>
    </format>
    <format dxfId="3602">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0858A4-EC15-44D2-95EA-353FB7EAA2D3}" name="PT_ApprovedStatus"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x="4"/>
        <item x="3"/>
        <item x="1"/>
        <item x="5"/>
        <item h="1"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dataField name="Count of Expense ID" fld="0" subtotal="count" baseField="0" baseItem="0"/>
  </dataFields>
  <formats count="2">
    <format dxfId="3615">
      <pivotArea outline="0" fieldPosition="0">
        <references count="2">
          <reference field="4294967294" count="1" selected="0">
            <x v="0"/>
          </reference>
          <reference field="7" count="0" selected="0"/>
        </references>
      </pivotArea>
    </format>
    <format dxfId="3614">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7325DAB-DFC7-4B3E-A852-EBD409B6D6E8}" name="PT_MonthlyTrend"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h="1"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3">
    <format dxfId="3628">
      <pivotArea outline="0" collapsedLevelsAreSubtotals="1" fieldPosition="0"/>
    </format>
    <format dxfId="3627">
      <pivotArea type="all" dataOnly="0" outline="0" fieldPosition="0"/>
    </format>
    <format dxfId="3626">
      <pivotArea outline="0" collapsedLevelsAreSubtotals="1" fieldPosition="0"/>
    </format>
    <format dxfId="3625">
      <pivotArea field="12" type="button" dataOnly="0" labelOnly="1" outline="0" axis="axisRow" fieldPosition="0"/>
    </format>
    <format dxfId="3624">
      <pivotArea dataOnly="0" labelOnly="1" outline="0" fieldPosition="0">
        <references count="1">
          <reference field="12" count="0"/>
        </references>
      </pivotArea>
    </format>
    <format dxfId="3623">
      <pivotArea dataOnly="0" labelOnly="1" grandRow="1" outline="0" fieldPosition="0"/>
    </format>
    <format dxfId="3622">
      <pivotArea dataOnly="0" labelOnly="1" outline="0" axis="axisValues" fieldPosition="0"/>
    </format>
    <format dxfId="3621">
      <pivotArea type="all" dataOnly="0" outline="0" fieldPosition="0"/>
    </format>
    <format dxfId="3620">
      <pivotArea outline="0" collapsedLevelsAreSubtotals="1" fieldPosition="0"/>
    </format>
    <format dxfId="3619">
      <pivotArea field="12" type="button" dataOnly="0" labelOnly="1" outline="0" axis="axisRow" fieldPosition="0"/>
    </format>
    <format dxfId="3618">
      <pivotArea dataOnly="0" labelOnly="1" outline="0" fieldPosition="0">
        <references count="1">
          <reference field="12" count="0"/>
        </references>
      </pivotArea>
    </format>
    <format dxfId="3617">
      <pivotArea dataOnly="0" labelOnly="1" grandRow="1" outline="0" fieldPosition="0"/>
    </format>
    <format dxfId="3616">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107045-7391-4FE1-B22D-E427A7391E63}" name="PT_ExpenseByCategory"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h="1"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3">
    <format dxfId="3641">
      <pivotArea outline="0" collapsedLevelsAreSubtotals="1" fieldPosition="0"/>
    </format>
    <format dxfId="3640">
      <pivotArea type="all" dataOnly="0" outline="0" fieldPosition="0"/>
    </format>
    <format dxfId="3639">
      <pivotArea outline="0" collapsedLevelsAreSubtotals="1" fieldPosition="0"/>
    </format>
    <format dxfId="3638">
      <pivotArea field="3" type="button" dataOnly="0" labelOnly="1" outline="0" axis="axisRow" fieldPosition="0"/>
    </format>
    <format dxfId="3637">
      <pivotArea dataOnly="0" labelOnly="1" outline="0" fieldPosition="0">
        <references count="1">
          <reference field="3" count="0"/>
        </references>
      </pivotArea>
    </format>
    <format dxfId="3636">
      <pivotArea dataOnly="0" labelOnly="1" grandRow="1" outline="0" fieldPosition="0"/>
    </format>
    <format dxfId="3635">
      <pivotArea dataOnly="0" labelOnly="1" outline="0" axis="axisValues" fieldPosition="0"/>
    </format>
    <format dxfId="3634">
      <pivotArea type="all" dataOnly="0" outline="0" fieldPosition="0"/>
    </format>
    <format dxfId="3633">
      <pivotArea outline="0" collapsedLevelsAreSubtotals="1" fieldPosition="0"/>
    </format>
    <format dxfId="3632">
      <pivotArea field="3" type="button" dataOnly="0" labelOnly="1" outline="0" axis="axisRow" fieldPosition="0"/>
    </format>
    <format dxfId="3631">
      <pivotArea dataOnly="0" labelOnly="1" outline="0" fieldPosition="0">
        <references count="1">
          <reference field="3" count="0"/>
        </references>
      </pivotArea>
    </format>
    <format dxfId="3630">
      <pivotArea dataOnly="0" labelOnly="1" grandRow="1" outline="0" fieldPosition="0"/>
    </format>
    <format dxfId="3629">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91468DC-C126-4EA4-AD1D-2CB0FABBF3CE}" name="PT_ExpenseByDepartment"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3:B9" firstHeaderRow="1" firstDataRow="1" firstDataCol="1"/>
  <pivotFields count="13">
    <pivotField compact="0" outline="0" showAll="0"/>
    <pivotField compact="0" numFmtId="164" outline="0" showAll="0"/>
    <pivotField axis="axisRow" compact="0" outline="0" showAll="0">
      <items count="7">
        <item x="0"/>
        <item x="4"/>
        <item x="3"/>
        <item x="1"/>
        <item x="5"/>
        <item h="1"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6">
    <i>
      <x/>
    </i>
    <i>
      <x v="1"/>
    </i>
    <i>
      <x v="2"/>
    </i>
    <i>
      <x v="3"/>
    </i>
    <i>
      <x v="4"/>
    </i>
    <i t="grand">
      <x/>
    </i>
  </rowItems>
  <colItems count="1">
    <i/>
  </colItems>
  <dataFields count="1">
    <dataField name="Sum of Amount (INR)" fld="5" baseField="0" baseItem="0" numFmtId="165"/>
  </dataFields>
  <formats count="13">
    <format dxfId="3654">
      <pivotArea outline="0" collapsedLevelsAreSubtotals="1" fieldPosition="0"/>
    </format>
    <format dxfId="3653">
      <pivotArea type="all" dataOnly="0" outline="0" fieldPosition="0"/>
    </format>
    <format dxfId="3652">
      <pivotArea outline="0" collapsedLevelsAreSubtotals="1" fieldPosition="0"/>
    </format>
    <format dxfId="3651">
      <pivotArea field="2" type="button" dataOnly="0" labelOnly="1" outline="0" axis="axisRow" fieldPosition="0"/>
    </format>
    <format dxfId="3650">
      <pivotArea dataOnly="0" labelOnly="1" outline="0" fieldPosition="0">
        <references count="1">
          <reference field="2" count="0"/>
        </references>
      </pivotArea>
    </format>
    <format dxfId="3649">
      <pivotArea dataOnly="0" labelOnly="1" grandRow="1" outline="0" fieldPosition="0"/>
    </format>
    <format dxfId="3648">
      <pivotArea dataOnly="0" labelOnly="1" outline="0" axis="axisValues" fieldPosition="0"/>
    </format>
    <format dxfId="3647">
      <pivotArea type="all" dataOnly="0" outline="0" fieldPosition="0"/>
    </format>
    <format dxfId="3646">
      <pivotArea outline="0" collapsedLevelsAreSubtotals="1" fieldPosition="0"/>
    </format>
    <format dxfId="3645">
      <pivotArea field="2" type="button" dataOnly="0" labelOnly="1" outline="0" axis="axisRow" fieldPosition="0"/>
    </format>
    <format dxfId="3644">
      <pivotArea dataOnly="0" labelOnly="1" outline="0" fieldPosition="0">
        <references count="1">
          <reference field="2" count="0"/>
        </references>
      </pivotArea>
    </format>
    <format dxfId="3643">
      <pivotArea dataOnly="0" labelOnly="1" grandRow="1" outline="0" fieldPosition="0"/>
    </format>
    <format dxfId="3642">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93DBD13-4B7A-44CC-88F0-24951A288AA8}"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364256613">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0B43C80-CC85-4A4C-AD89-AE28AEAAC8A1}"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364256613">
      <items count="6">
        <i x="0" s="1"/>
        <i x="4" s="1"/>
        <i x="3" s="1"/>
        <i x="1" s="1"/>
        <i x="5"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9A159D1-97D6-4343-B8F1-B4FA43692793}" cache="Slicer_Month" caption="Month" columnCount="4" style="SlicerStyleLight6" rowHeight="257175"/>
  <slicer name="Department" xr10:uid="{6B8813E9-FDA7-4931-8C63-148D5C03664E}" cache="Slicer_Department" caption="Department" columnCount="6" style="SlicerStyleLight6"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34CCFF0-41EB-48DB-8F0B-BA0DCBDB38F3}" name="tblExpenses" displayName="tblExpenses" ref="A1:M416" totalsRowShown="0" headerRowDxfId="3655">
  <autoFilter ref="A1:M416" xr:uid="{934CCFF0-41EB-48DB-8F0B-BA0DCBDB38F3}"/>
  <tableColumns count="13">
    <tableColumn id="1" xr3:uid="{74DD0AFE-740B-49A4-9FF8-4C1463E9D958}" name="Expense ID"/>
    <tableColumn id="2" xr3:uid="{66CB72C9-F77E-4F1E-A955-801CEE0A4A85}" name="Date" dataDxfId="3659"/>
    <tableColumn id="3" xr3:uid="{14D1C5B0-0E22-47EB-AC3A-393761FED36C}" name="Department"/>
    <tableColumn id="4" xr3:uid="{98A89382-5B02-47D1-BE9D-27190A596609}" name="Category"/>
    <tableColumn id="5" xr3:uid="{D27C8213-425C-4C3E-9A11-935524972899}" name="Description"/>
    <tableColumn id="6" xr3:uid="{8B883EAB-7DD8-4562-B8AB-DD1F81C579DB}" name="Amount (INR)" dataDxfId="3658"/>
    <tableColumn id="7" xr3:uid="{1133C47A-9D1F-4559-865A-C06D9E93B48D}" name="Payment Method"/>
    <tableColumn id="8" xr3:uid="{ACDD4719-735A-4263-864E-78FF0DB50341}" name="Approved"/>
    <tableColumn id="9" xr3:uid="{6ADE7765-3537-49C8-A45E-1116EB6327A6}" name="Budget Allocated" dataDxfId="3657"/>
    <tableColumn id="10" xr3:uid="{3FC974C8-D618-4C9C-BDED-E32A7708A91C}" name="Budget Remaining" dataDxfId="3656"/>
    <tableColumn id="11" xr3:uid="{8D62AEC2-2351-4792-A09F-17E15555BB62}" name="Vendor Name"/>
    <tableColumn id="12" xr3:uid="{BF8C8D84-1FC3-4D35-9CA8-5391C19C91D0}" name="Invoice Number"/>
    <tableColumn id="13" xr3:uid="{95A1F7F8-6F58-4865-AA79-10EEC8EB2ABE}"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A5AF8-0B9C-460B-A5B0-AB48772100A4}">
  <sheetPr codeName="Sheet3">
    <pageSetUpPr fitToPage="1"/>
  </sheetPr>
  <dimension ref="A1:AF29"/>
  <sheetViews>
    <sheetView showGridLines="0" tabSelected="1" zoomScale="91" zoomScaleNormal="91" workbookViewId="0">
      <selection activeCell="AH16" sqref="AH16"/>
    </sheetView>
  </sheetViews>
  <sheetFormatPr defaultRowHeight="13.5" x14ac:dyDescent="0.25"/>
  <cols>
    <col min="1" max="30" width="8" style="11" customWidth="1"/>
    <col min="31" max="31" width="9.140625" style="11"/>
    <col min="32" max="33" width="0" style="11" hidden="1" customWidth="1"/>
    <col min="34" max="16384" width="9.140625" style="11"/>
  </cols>
  <sheetData>
    <row r="1" spans="1:32" ht="21.95" customHeight="1" x14ac:dyDescent="0.25">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row>
    <row r="2" spans="1:32" ht="21.95" customHeight="1" x14ac:dyDescent="0.25">
      <c r="A2" s="15"/>
      <c r="B2" s="15"/>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F2" s="12">
        <f>IFERROR(GETPIVOTDATA("Sum of Amount (INR)",Pivot!$M$3),0)</f>
        <v>15951211</v>
      </c>
    </row>
    <row r="3" spans="1:32" ht="21.95" customHeight="1" x14ac:dyDescent="0.25">
      <c r="A3" s="15"/>
      <c r="B3" s="15"/>
      <c r="C3" s="15"/>
      <c r="D3" s="15"/>
      <c r="E3" s="15"/>
      <c r="F3" s="15"/>
      <c r="G3" s="15"/>
      <c r="H3" s="15"/>
      <c r="I3" s="15"/>
      <c r="J3" s="15"/>
      <c r="K3" s="15"/>
      <c r="L3" s="15"/>
      <c r="M3" s="15"/>
      <c r="N3" s="15"/>
      <c r="O3" s="15"/>
      <c r="P3" s="15"/>
      <c r="Q3" s="15"/>
      <c r="R3" s="15"/>
      <c r="S3" s="15"/>
      <c r="T3" s="15"/>
      <c r="U3" s="15"/>
      <c r="V3" s="15"/>
      <c r="W3" s="15"/>
      <c r="X3" s="15"/>
      <c r="Y3" s="15"/>
      <c r="Z3" s="15"/>
      <c r="AA3" s="15"/>
      <c r="AB3" s="15"/>
      <c r="AC3" s="15"/>
      <c r="AD3" s="15"/>
      <c r="AF3" s="12">
        <f>IFERROR(GETPIVOTDATA("Sum of Budget Allocated",Pivot!$M$3),0)</f>
        <v>19805665</v>
      </c>
    </row>
    <row r="4" spans="1:32" ht="18" customHeight="1" x14ac:dyDescent="0.25">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F4" s="12">
        <f>IFERROR(GETPIVOTDATA("Sum of Budget Remaining",Pivot!$M$3),0)</f>
        <v>3854454</v>
      </c>
    </row>
    <row r="5" spans="1:32" ht="18" customHeight="1" x14ac:dyDescent="0.25">
      <c r="A5" s="15"/>
      <c r="B5" s="15"/>
      <c r="C5" s="15"/>
      <c r="D5" s="15"/>
      <c r="E5" s="15"/>
      <c r="F5" s="15"/>
      <c r="G5" s="15"/>
      <c r="H5" s="15"/>
      <c r="I5" s="15"/>
      <c r="J5" s="15"/>
      <c r="K5" s="15"/>
      <c r="L5" s="15"/>
      <c r="M5" s="15"/>
      <c r="N5" s="15"/>
      <c r="O5" s="15"/>
      <c r="P5" s="15"/>
      <c r="Q5" s="15"/>
      <c r="R5" s="15"/>
      <c r="S5" s="15"/>
      <c r="T5" s="15"/>
      <c r="U5" s="15"/>
      <c r="V5" s="15"/>
      <c r="W5" s="15"/>
      <c r="X5" s="15"/>
      <c r="Y5" s="15"/>
      <c r="Z5" s="15"/>
      <c r="AA5" s="15"/>
      <c r="AB5" s="15"/>
      <c r="AC5" s="15"/>
      <c r="AD5" s="15"/>
      <c r="AF5" s="13">
        <f>IFERROR(GETPIVOTDATA("Count of Expense ID",Pivot!$M$3),0)</f>
        <v>349</v>
      </c>
    </row>
    <row r="6" spans="1:32" ht="18" customHeight="1" x14ac:dyDescent="0.25">
      <c r="A6" s="15"/>
      <c r="B6" s="15"/>
      <c r="C6" s="15"/>
      <c r="D6" s="15"/>
      <c r="E6" s="15"/>
      <c r="F6" s="15"/>
      <c r="G6" s="15"/>
      <c r="H6" s="15"/>
      <c r="I6" s="15"/>
      <c r="J6" s="15"/>
      <c r="K6" s="15"/>
      <c r="L6" s="15"/>
      <c r="M6" s="15"/>
      <c r="N6" s="15"/>
      <c r="O6" s="15"/>
      <c r="P6" s="15"/>
      <c r="Q6" s="15"/>
      <c r="R6" s="15"/>
      <c r="S6" s="15"/>
      <c r="T6" s="15"/>
      <c r="U6" s="15"/>
      <c r="V6" s="15"/>
      <c r="W6" s="15"/>
      <c r="X6" s="15"/>
      <c r="Y6" s="15"/>
      <c r="Z6" s="15"/>
      <c r="AA6" s="15"/>
      <c r="AB6" s="15"/>
      <c r="AC6" s="15"/>
      <c r="AD6" s="15"/>
      <c r="AF6" s="14">
        <f>IFERROR(GETPIVOTDATA("Count of Expense ID",Pivot!$J$3,"Approved","Yes")/AF5,0)</f>
        <v>0.8080229226361032</v>
      </c>
    </row>
    <row r="7" spans="1:32" ht="18" customHeight="1" x14ac:dyDescent="0.25">
      <c r="A7" s="15"/>
      <c r="B7" s="15"/>
      <c r="C7" s="15"/>
      <c r="D7" s="15"/>
      <c r="E7" s="15"/>
      <c r="F7" s="15"/>
      <c r="G7" s="15"/>
      <c r="H7" s="15"/>
      <c r="I7" s="15"/>
      <c r="J7" s="15"/>
      <c r="K7" s="15"/>
      <c r="L7" s="15"/>
      <c r="M7" s="15"/>
      <c r="N7" s="15"/>
      <c r="O7" s="15"/>
      <c r="P7" s="15"/>
      <c r="Q7" s="15"/>
      <c r="R7" s="15"/>
      <c r="S7" s="15"/>
      <c r="T7" s="15"/>
      <c r="U7" s="15"/>
      <c r="V7" s="15"/>
      <c r="W7" s="15"/>
      <c r="X7" s="15"/>
      <c r="Y7" s="15"/>
      <c r="Z7" s="15"/>
      <c r="AA7" s="15"/>
      <c r="AB7" s="15"/>
      <c r="AC7" s="15"/>
      <c r="AD7" s="15"/>
      <c r="AF7" s="12">
        <f>IFERROR(AF2/AF5,0)</f>
        <v>45705.475644699138</v>
      </c>
    </row>
    <row r="8" spans="1:32" ht="18" customHeight="1" x14ac:dyDescent="0.25">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row>
    <row r="9" spans="1:32" ht="18" customHeight="1" x14ac:dyDescent="0.25">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row>
    <row r="10" spans="1:32" ht="18" customHeight="1" x14ac:dyDescent="0.25">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row>
    <row r="11" spans="1:32" ht="18" customHeight="1" x14ac:dyDescent="0.25">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row>
    <row r="12" spans="1:32" ht="18" customHeight="1" x14ac:dyDescent="0.25">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row>
    <row r="13" spans="1:32" ht="18" customHeight="1" x14ac:dyDescent="0.25">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row>
    <row r="14" spans="1:32" ht="18" customHeight="1" x14ac:dyDescent="0.25">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row>
    <row r="15" spans="1:32" ht="18" customHeight="1" x14ac:dyDescent="0.25">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row>
    <row r="16" spans="1:32" ht="18" customHeight="1" x14ac:dyDescent="0.25">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row>
    <row r="17" spans="1:30" ht="18" customHeight="1" x14ac:dyDescent="0.25">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row>
    <row r="18" spans="1:30" ht="18" customHeight="1" x14ac:dyDescent="0.25">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row>
    <row r="19" spans="1:30" ht="18" customHeight="1" x14ac:dyDescent="0.25">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row>
    <row r="20" spans="1:30" ht="18" customHeight="1" x14ac:dyDescent="0.25">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row>
    <row r="21" spans="1:30" ht="18" customHeight="1" x14ac:dyDescent="0.25">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row>
    <row r="22" spans="1:30" ht="18" customHeight="1" x14ac:dyDescent="0.25">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1:30" ht="18" customHeight="1" x14ac:dyDescent="0.25">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row>
    <row r="24" spans="1:30" ht="18" customHeight="1" x14ac:dyDescent="0.25">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row>
    <row r="25" spans="1:30" ht="18" customHeight="1" x14ac:dyDescent="0.25">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row>
    <row r="26" spans="1:30" ht="18" customHeight="1" x14ac:dyDescent="0.25">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row>
    <row r="27" spans="1:30" ht="18" customHeight="1" x14ac:dyDescent="0.25">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row>
    <row r="28" spans="1:30" ht="18" customHeight="1" x14ac:dyDescent="0.25">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row>
    <row r="29" spans="1:30" ht="18" customHeight="1" x14ac:dyDescent="0.25">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workbookViewId="0">
      <selection activeCell="J12" sqref="J12"/>
    </sheetView>
  </sheetViews>
  <sheetFormatPr defaultRowHeight="15" x14ac:dyDescent="0.25"/>
  <cols>
    <col min="1" max="1" width="13.42578125" customWidth="1"/>
    <col min="2" max="2" width="12" customWidth="1"/>
    <col min="3" max="3" width="14.140625" customWidth="1"/>
    <col min="4" max="4" width="14.28515625" customWidth="1"/>
    <col min="5" max="5" width="34.42578125" customWidth="1"/>
    <col min="6" max="6" width="15.5703125" customWidth="1"/>
    <col min="7" max="7" width="18.5703125" customWidth="1"/>
    <col min="8" max="8" width="11.85546875" customWidth="1"/>
    <col min="9" max="9" width="18.5703125" customWidth="1"/>
    <col min="10" max="10" width="19.85546875" customWidth="1"/>
    <col min="11" max="11" width="19.140625" customWidth="1"/>
    <col min="12" max="12" width="17.7109375" customWidth="1"/>
    <col min="13" max="13" width="9" customWidth="1"/>
  </cols>
  <sheetData>
    <row r="1" spans="1:13" s="3" customFormat="1" x14ac:dyDescent="0.25">
      <c r="A1" s="3" t="s">
        <v>0</v>
      </c>
      <c r="B1" s="3" t="s">
        <v>1</v>
      </c>
      <c r="C1" s="3" t="s">
        <v>2</v>
      </c>
      <c r="D1" s="3" t="s">
        <v>3</v>
      </c>
      <c r="E1" s="3" t="s">
        <v>4</v>
      </c>
      <c r="F1" s="3" t="s">
        <v>5</v>
      </c>
      <c r="G1" s="3" t="s">
        <v>6</v>
      </c>
      <c r="H1" s="3" t="s">
        <v>7</v>
      </c>
      <c r="I1" s="3" t="s">
        <v>8</v>
      </c>
      <c r="J1" s="3" t="s">
        <v>9</v>
      </c>
      <c r="K1" s="3" t="s">
        <v>10</v>
      </c>
      <c r="L1" s="3" t="s">
        <v>11</v>
      </c>
      <c r="M1" s="3" t="s">
        <v>918</v>
      </c>
    </row>
    <row r="2" spans="1:13" x14ac:dyDescent="0.25">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25">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25">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25">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25">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25">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25">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25">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25">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25">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25">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25">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25">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25">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25">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25">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25">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25">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25">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25">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25">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25">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25">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25">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25">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25">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25">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25">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25">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25">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25">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25">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25">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25">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25">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25">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25">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25">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25">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25">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25">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25">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25">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25">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25">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25">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25">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25">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25">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25">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25">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25">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25">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25">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25">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25">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25">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25">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25">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25">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25">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25">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25">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25">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25">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25">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25">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25">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25">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25">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25">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25">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25">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25">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25">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25">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25">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25">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25">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25">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25">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25">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25">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25">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25">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25">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25">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25">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25">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25">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25">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25">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25">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25">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25">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25">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25">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25">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25">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25">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25">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25">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25">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25">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25">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25">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25">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25">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25">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25">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25">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25">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25">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25">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25">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25">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25">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25">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25">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25">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25">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25">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25">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25">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25">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25">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25">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25">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25">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25">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25">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25">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25">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25">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25">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25">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25">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25">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25">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25">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25">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25">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25">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25">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25">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25">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25">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25">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25">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25">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25">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25">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25">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25">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25">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25">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25">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25">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25">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25">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25">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25">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25">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25">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25">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25">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25">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25">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25">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25">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25">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25">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25">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25">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25">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25">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25">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25">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25">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25">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25">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25">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25">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25">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25">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25">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25">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25">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25">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25">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25">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25">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25">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25">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25">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25">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25">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25">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25">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25">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25">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25">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25">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25">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25">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25">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25">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25">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25">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25">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25">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25">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25">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25">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25">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25">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25">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25">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25">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25">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25">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25">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25">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25">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25">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25">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25">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25">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25">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25">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25">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25">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25">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25">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25">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25">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25">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25">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25">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25">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25">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25">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25">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25">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25">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25">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25">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25">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25">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25">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25">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25">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25">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25">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25">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25">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25">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25">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25">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25">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25">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25">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25">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25">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25">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25">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25">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25">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25">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25">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25">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25">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25">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25">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25">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25">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25">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25">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25">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25">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25">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25">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25">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25">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25">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25">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25">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25">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25">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25">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25">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25">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25">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25">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25">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25">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25">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25">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25">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25">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25">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25">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25">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25">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25">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25">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25">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25">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25">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25">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25">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25">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25">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25">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25">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25">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25">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25">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25">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25">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25">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25">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25">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25">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25">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25">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25">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25">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25">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25">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25">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25">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25">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25">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25">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25">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25">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25">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25">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25">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25">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25">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25">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25">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25">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25">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25">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25">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25">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25">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25">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25">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25">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25">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25">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25">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25">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25">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25">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25">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25">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25">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25">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25">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25">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25">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25">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25">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25">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25">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25">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25">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25">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25">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25">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25">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25">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25">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25">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25">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25">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25">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25">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25">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25">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25">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25">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25">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25">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25">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25">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25">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25">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25">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25">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25">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25">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25">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25">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25">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25">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25">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25">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25">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25">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25">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25">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25">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25">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25">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25">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25">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25">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25">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25">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8A0C5-F537-4D97-BD54-441DD48E7CCE}">
  <sheetPr codeName="Sheet2"/>
  <dimension ref="A3:P62"/>
  <sheetViews>
    <sheetView workbookViewId="0"/>
  </sheetViews>
  <sheetFormatPr defaultRowHeight="15" x14ac:dyDescent="0.25"/>
  <cols>
    <col min="1" max="1" width="18" bestFit="1" customWidth="1"/>
    <col min="2" max="2" width="19.140625" customWidth="1"/>
    <col min="4" max="4" width="13.7109375" bestFit="1" customWidth="1"/>
    <col min="5" max="5" width="12.140625" bestFit="1" customWidth="1"/>
    <col min="6" max="6" width="22.5703125" customWidth="1"/>
    <col min="7" max="7" width="11" customWidth="1"/>
    <col min="8" max="8" width="19.140625" customWidth="1"/>
    <col min="10" max="10" width="11.85546875" customWidth="1"/>
    <col min="11" max="11" width="20.140625" customWidth="1"/>
    <col min="12" max="12" width="19.7109375" customWidth="1"/>
    <col min="13" max="13" width="19.140625" customWidth="1"/>
    <col min="14" max="14" width="22.5703125" customWidth="1"/>
    <col min="15" max="15" width="23.42578125" customWidth="1"/>
    <col min="16" max="16" width="18.42578125" customWidth="1"/>
  </cols>
  <sheetData>
    <row r="3" spans="1:16" x14ac:dyDescent="0.25">
      <c r="A3" s="6" t="s">
        <v>2</v>
      </c>
      <c r="B3" s="7" t="s">
        <v>920</v>
      </c>
      <c r="D3" s="6" t="s">
        <v>3</v>
      </c>
      <c r="E3" s="7" t="s">
        <v>920</v>
      </c>
      <c r="G3" s="6" t="s">
        <v>918</v>
      </c>
      <c r="H3" s="7" t="s">
        <v>920</v>
      </c>
      <c r="K3" s="4" t="s">
        <v>933</v>
      </c>
      <c r="M3" s="6" t="s">
        <v>933</v>
      </c>
      <c r="N3" s="7"/>
      <c r="O3" s="7"/>
      <c r="P3" s="7"/>
    </row>
    <row r="4" spans="1:16" x14ac:dyDescent="0.25">
      <c r="A4" s="7" t="s">
        <v>13</v>
      </c>
      <c r="B4" s="8">
        <v>3366315</v>
      </c>
      <c r="D4" s="7" t="s">
        <v>31</v>
      </c>
      <c r="E4" s="8">
        <v>5505129</v>
      </c>
      <c r="G4" s="7" t="s">
        <v>921</v>
      </c>
      <c r="H4" s="8">
        <v>1143552</v>
      </c>
      <c r="J4" s="4" t="s">
        <v>7</v>
      </c>
      <c r="K4" t="s">
        <v>920</v>
      </c>
      <c r="L4" t="s">
        <v>934</v>
      </c>
      <c r="M4" s="7" t="s">
        <v>920</v>
      </c>
      <c r="N4" s="7" t="s">
        <v>935</v>
      </c>
      <c r="O4" s="7" t="s">
        <v>936</v>
      </c>
      <c r="P4" s="7" t="s">
        <v>934</v>
      </c>
    </row>
    <row r="5" spans="1:16" x14ac:dyDescent="0.25">
      <c r="A5" s="7" t="s">
        <v>92</v>
      </c>
      <c r="B5" s="8">
        <v>2611075</v>
      </c>
      <c r="D5" s="7" t="s">
        <v>36</v>
      </c>
      <c r="E5" s="8">
        <v>3250371</v>
      </c>
      <c r="G5" s="7" t="s">
        <v>922</v>
      </c>
      <c r="H5" s="8">
        <v>860027</v>
      </c>
      <c r="J5" t="s">
        <v>43</v>
      </c>
      <c r="K5" s="2">
        <v>3378459</v>
      </c>
      <c r="L5" s="9">
        <v>67</v>
      </c>
      <c r="M5" s="8">
        <v>15951211</v>
      </c>
      <c r="N5" s="8">
        <v>19805665</v>
      </c>
      <c r="O5" s="8">
        <v>3854454</v>
      </c>
      <c r="P5" s="10">
        <v>349</v>
      </c>
    </row>
    <row r="6" spans="1:16" x14ac:dyDescent="0.25">
      <c r="A6" s="7" t="s">
        <v>72</v>
      </c>
      <c r="B6" s="8">
        <v>3616924</v>
      </c>
      <c r="D6" s="7" t="s">
        <v>21</v>
      </c>
      <c r="E6" s="8">
        <v>2814617</v>
      </c>
      <c r="G6" s="7" t="s">
        <v>923</v>
      </c>
      <c r="H6" s="8">
        <v>1116916</v>
      </c>
      <c r="J6" t="s">
        <v>17</v>
      </c>
      <c r="K6" s="2">
        <v>12572752</v>
      </c>
      <c r="L6" s="9">
        <v>282</v>
      </c>
    </row>
    <row r="7" spans="1:16" x14ac:dyDescent="0.25">
      <c r="A7" s="7" t="s">
        <v>21</v>
      </c>
      <c r="B7" s="8">
        <v>3010276</v>
      </c>
      <c r="D7" s="7" t="s">
        <v>26</v>
      </c>
      <c r="E7" s="8">
        <v>163172</v>
      </c>
      <c r="G7" s="7" t="s">
        <v>924</v>
      </c>
      <c r="H7" s="8">
        <v>1177022</v>
      </c>
      <c r="J7" t="s">
        <v>919</v>
      </c>
      <c r="K7" s="5">
        <v>15951211</v>
      </c>
      <c r="L7" s="5">
        <v>349</v>
      </c>
    </row>
    <row r="8" spans="1:16" x14ac:dyDescent="0.25">
      <c r="A8" s="7" t="s">
        <v>114</v>
      </c>
      <c r="B8" s="8">
        <v>3346621</v>
      </c>
      <c r="D8" s="7" t="s">
        <v>14</v>
      </c>
      <c r="E8" s="8">
        <v>1507371</v>
      </c>
      <c r="G8" s="7" t="s">
        <v>925</v>
      </c>
      <c r="H8" s="8">
        <v>1464148</v>
      </c>
    </row>
    <row r="9" spans="1:16" x14ac:dyDescent="0.25">
      <c r="A9" s="7" t="s">
        <v>919</v>
      </c>
      <c r="B9" s="8">
        <v>15951211</v>
      </c>
      <c r="D9" s="7" t="s">
        <v>132</v>
      </c>
      <c r="E9" s="8">
        <v>618177</v>
      </c>
      <c r="G9" s="7" t="s">
        <v>926</v>
      </c>
      <c r="H9" s="8">
        <v>1194133</v>
      </c>
    </row>
    <row r="10" spans="1:16" x14ac:dyDescent="0.25">
      <c r="D10" s="7" t="s">
        <v>58</v>
      </c>
      <c r="E10" s="8">
        <v>1748053</v>
      </c>
      <c r="G10" s="7" t="s">
        <v>927</v>
      </c>
      <c r="H10" s="8">
        <v>1480791</v>
      </c>
    </row>
    <row r="11" spans="1:16" x14ac:dyDescent="0.25">
      <c r="D11" s="7" t="s">
        <v>54</v>
      </c>
      <c r="E11" s="8">
        <v>344321</v>
      </c>
      <c r="G11" s="7" t="s">
        <v>928</v>
      </c>
      <c r="H11" s="8">
        <v>1302500</v>
      </c>
    </row>
    <row r="12" spans="1:16" x14ac:dyDescent="0.25">
      <c r="D12" s="7" t="s">
        <v>919</v>
      </c>
      <c r="E12" s="8">
        <v>15951211</v>
      </c>
      <c r="G12" s="7" t="s">
        <v>929</v>
      </c>
      <c r="H12" s="8">
        <v>1744001</v>
      </c>
    </row>
    <row r="13" spans="1:16" x14ac:dyDescent="0.25">
      <c r="G13" s="7" t="s">
        <v>930</v>
      </c>
      <c r="H13" s="8">
        <v>1226148</v>
      </c>
    </row>
    <row r="14" spans="1:16" x14ac:dyDescent="0.25">
      <c r="G14" s="7" t="s">
        <v>931</v>
      </c>
      <c r="H14" s="8">
        <v>1727725</v>
      </c>
    </row>
    <row r="15" spans="1:16" x14ac:dyDescent="0.25">
      <c r="G15" s="7" t="s">
        <v>932</v>
      </c>
      <c r="H15" s="8">
        <v>1514248</v>
      </c>
    </row>
    <row r="16" spans="1:16" x14ac:dyDescent="0.25">
      <c r="G16" s="7" t="s">
        <v>919</v>
      </c>
      <c r="H16" s="8">
        <v>15951211</v>
      </c>
    </row>
    <row r="25" spans="1:6" x14ac:dyDescent="0.25">
      <c r="A25" s="6" t="s">
        <v>6</v>
      </c>
      <c r="B25" s="7" t="s">
        <v>920</v>
      </c>
      <c r="D25" s="7"/>
      <c r="E25" s="6" t="s">
        <v>933</v>
      </c>
      <c r="F25" s="7"/>
    </row>
    <row r="26" spans="1:6" x14ac:dyDescent="0.25">
      <c r="A26" s="7" t="s">
        <v>51</v>
      </c>
      <c r="B26" s="8">
        <v>4284391</v>
      </c>
      <c r="D26" s="6" t="s">
        <v>2</v>
      </c>
      <c r="E26" s="7" t="s">
        <v>937</v>
      </c>
      <c r="F26" s="7" t="s">
        <v>935</v>
      </c>
    </row>
    <row r="27" spans="1:6" x14ac:dyDescent="0.25">
      <c r="A27" s="7" t="s">
        <v>16</v>
      </c>
      <c r="B27" s="8">
        <v>3992741</v>
      </c>
      <c r="D27" s="7" t="s">
        <v>13</v>
      </c>
      <c r="E27" s="8">
        <v>3366315</v>
      </c>
      <c r="F27" s="8">
        <v>4162201</v>
      </c>
    </row>
    <row r="28" spans="1:6" x14ac:dyDescent="0.25">
      <c r="A28" s="7" t="s">
        <v>38</v>
      </c>
      <c r="B28" s="8">
        <v>4702030</v>
      </c>
      <c r="D28" s="7" t="s">
        <v>92</v>
      </c>
      <c r="E28" s="8">
        <v>2611075</v>
      </c>
      <c r="F28" s="8">
        <v>3159110</v>
      </c>
    </row>
    <row r="29" spans="1:6" x14ac:dyDescent="0.25">
      <c r="A29" s="7" t="s">
        <v>23</v>
      </c>
      <c r="B29" s="8">
        <v>2972049</v>
      </c>
      <c r="D29" s="7" t="s">
        <v>72</v>
      </c>
      <c r="E29" s="8">
        <v>3616924</v>
      </c>
      <c r="F29" s="8">
        <v>4425089</v>
      </c>
    </row>
    <row r="30" spans="1:6" x14ac:dyDescent="0.25">
      <c r="A30" s="7" t="s">
        <v>919</v>
      </c>
      <c r="B30" s="8">
        <v>15951211</v>
      </c>
      <c r="D30" s="7" t="s">
        <v>21</v>
      </c>
      <c r="E30" s="8">
        <v>3010276</v>
      </c>
      <c r="F30" s="8">
        <v>3898633</v>
      </c>
    </row>
    <row r="31" spans="1:6" x14ac:dyDescent="0.25">
      <c r="D31" s="7" t="s">
        <v>114</v>
      </c>
      <c r="E31" s="8">
        <v>3346621</v>
      </c>
      <c r="F31" s="8">
        <v>4160632</v>
      </c>
    </row>
    <row r="32" spans="1:6" x14ac:dyDescent="0.25">
      <c r="D32" s="7" t="s">
        <v>919</v>
      </c>
      <c r="E32" s="8">
        <v>15951211</v>
      </c>
      <c r="F32" s="8">
        <v>19805665</v>
      </c>
    </row>
    <row r="50" spans="1:15" x14ac:dyDescent="0.25">
      <c r="A50" t="s">
        <v>2</v>
      </c>
      <c r="B50" t="s">
        <v>938</v>
      </c>
      <c r="D50" t="s">
        <v>3</v>
      </c>
      <c r="E50" t="s">
        <v>938</v>
      </c>
      <c r="G50" t="s">
        <v>918</v>
      </c>
      <c r="H50" t="s">
        <v>938</v>
      </c>
      <c r="J50" t="s">
        <v>6</v>
      </c>
      <c r="K50" t="s">
        <v>938</v>
      </c>
      <c r="M50" t="s">
        <v>2</v>
      </c>
      <c r="N50" t="s">
        <v>937</v>
      </c>
      <c r="O50" t="s">
        <v>8</v>
      </c>
    </row>
    <row r="51" spans="1:15" x14ac:dyDescent="0.25">
      <c r="A51" t="str">
        <f>Pivot!$A$4</f>
        <v>Engineering</v>
      </c>
      <c r="B51" s="2">
        <f>Pivot!$B$4</f>
        <v>3366315</v>
      </c>
      <c r="D51" t="str">
        <f>Pivot!$D$4</f>
        <v>Consulting</v>
      </c>
      <c r="E51" s="2">
        <f>Pivot!$E$4</f>
        <v>5505129</v>
      </c>
      <c r="G51" t="str">
        <f>Pivot!$G$4</f>
        <v>Jan</v>
      </c>
      <c r="H51" s="2">
        <f>Pivot!$H$4</f>
        <v>1143552</v>
      </c>
      <c r="J51" t="str">
        <f>Pivot!$A$26</f>
        <v>Bank Transfer</v>
      </c>
      <c r="K51" s="2">
        <f>Pivot!$B$26</f>
        <v>4284391</v>
      </c>
      <c r="M51" t="str">
        <f>Pivot!$D$27</f>
        <v>Engineering</v>
      </c>
      <c r="N51" s="2">
        <f>Pivot!$E$27</f>
        <v>3366315</v>
      </c>
      <c r="O51" s="2">
        <f>Pivot!$F$27</f>
        <v>4162201</v>
      </c>
    </row>
    <row r="52" spans="1:15" x14ac:dyDescent="0.25">
      <c r="A52" t="str">
        <f>Pivot!$A$5</f>
        <v>Finance</v>
      </c>
      <c r="B52" s="2">
        <f>Pivot!$B$5</f>
        <v>2611075</v>
      </c>
      <c r="D52" t="str">
        <f>Pivot!$D$5</f>
        <v>Equipment</v>
      </c>
      <c r="E52" s="2">
        <f>Pivot!$E$5</f>
        <v>3250371</v>
      </c>
      <c r="G52" t="str">
        <f>Pivot!$G$5</f>
        <v>Feb</v>
      </c>
      <c r="H52" s="2">
        <f>Pivot!$H$5</f>
        <v>860027</v>
      </c>
      <c r="J52" t="str">
        <f>Pivot!$A$27</f>
        <v>Cash</v>
      </c>
      <c r="K52" s="2">
        <f>Pivot!$B$27</f>
        <v>3992741</v>
      </c>
      <c r="M52" t="str">
        <f>Pivot!$D$28</f>
        <v>Finance</v>
      </c>
      <c r="N52" s="2">
        <f>Pivot!$E$28</f>
        <v>2611075</v>
      </c>
      <c r="O52" s="2">
        <f>Pivot!$F$28</f>
        <v>3159110</v>
      </c>
    </row>
    <row r="53" spans="1:15" x14ac:dyDescent="0.25">
      <c r="A53" t="str">
        <f>Pivot!$A$6</f>
        <v>HR</v>
      </c>
      <c r="B53" s="2">
        <f>Pivot!$B$6</f>
        <v>3616924</v>
      </c>
      <c r="D53" t="str">
        <f>Pivot!$D$6</f>
        <v>Marketing</v>
      </c>
      <c r="E53" s="2">
        <f>Pivot!$E$6</f>
        <v>2814617</v>
      </c>
      <c r="G53" t="str">
        <f>Pivot!$G$6</f>
        <v>Mar</v>
      </c>
      <c r="H53" s="2">
        <f>Pivot!$H$6</f>
        <v>1116916</v>
      </c>
      <c r="J53" t="str">
        <f>Pivot!$A$28</f>
        <v>Cheque</v>
      </c>
      <c r="K53" s="2">
        <f>Pivot!$B$28</f>
        <v>4702030</v>
      </c>
      <c r="M53" t="str">
        <f>Pivot!$D$29</f>
        <v>HR</v>
      </c>
      <c r="N53" s="2">
        <f>Pivot!$E$29</f>
        <v>3616924</v>
      </c>
      <c r="O53" s="2">
        <f>Pivot!$F$29</f>
        <v>4425089</v>
      </c>
    </row>
    <row r="54" spans="1:15" x14ac:dyDescent="0.25">
      <c r="A54" t="str">
        <f>Pivot!$A$7</f>
        <v>Marketing</v>
      </c>
      <c r="B54" s="2">
        <f>Pivot!$B$7</f>
        <v>3010276</v>
      </c>
      <c r="D54" t="str">
        <f>Pivot!$D$7</f>
        <v>Office Supplies</v>
      </c>
      <c r="E54" s="2">
        <f>Pivot!$E$7</f>
        <v>163172</v>
      </c>
      <c r="G54" t="str">
        <f>Pivot!$G$7</f>
        <v>Apr</v>
      </c>
      <c r="H54" s="2">
        <f>Pivot!$H$7</f>
        <v>1177022</v>
      </c>
      <c r="J54" t="str">
        <f>Pivot!$A$29</f>
        <v>Credit Card</v>
      </c>
      <c r="K54" s="2">
        <f>Pivot!$B$29</f>
        <v>2972049</v>
      </c>
      <c r="M54" t="str">
        <f>Pivot!$D$30</f>
        <v>Marketing</v>
      </c>
      <c r="N54" s="2">
        <f>Pivot!$E$30</f>
        <v>3010276</v>
      </c>
      <c r="O54" s="2">
        <f>Pivot!$F$30</f>
        <v>3898633</v>
      </c>
    </row>
    <row r="55" spans="1:15" x14ac:dyDescent="0.25">
      <c r="A55" t="str">
        <f>Pivot!$A$8</f>
        <v>Operations</v>
      </c>
      <c r="B55" s="2">
        <f>Pivot!$B$8</f>
        <v>3346621</v>
      </c>
      <c r="D55" t="str">
        <f>Pivot!$D$8</f>
        <v>Software</v>
      </c>
      <c r="E55" s="2">
        <f>Pivot!$E$8</f>
        <v>1507371</v>
      </c>
      <c r="G55" t="str">
        <f>Pivot!$G$8</f>
        <v>May</v>
      </c>
      <c r="H55" s="2">
        <f>Pivot!$H$8</f>
        <v>1464148</v>
      </c>
      <c r="M55" t="str">
        <f>Pivot!$D$31</f>
        <v>Operations</v>
      </c>
      <c r="N55" s="2">
        <f>Pivot!$E$31</f>
        <v>3346621</v>
      </c>
      <c r="O55" s="2">
        <f>Pivot!$F$31</f>
        <v>4160632</v>
      </c>
    </row>
    <row r="56" spans="1:15" x14ac:dyDescent="0.25">
      <c r="A56" t="str">
        <f>Pivot!$A$9</f>
        <v>Grand Total</v>
      </c>
      <c r="B56" s="2">
        <f>Pivot!$B$9</f>
        <v>15951211</v>
      </c>
      <c r="D56" t="str">
        <f>Pivot!$D$9</f>
        <v>Training</v>
      </c>
      <c r="E56" s="2">
        <f>Pivot!$E$9</f>
        <v>618177</v>
      </c>
      <c r="G56" t="str">
        <f>Pivot!$G$9</f>
        <v>Jun</v>
      </c>
      <c r="H56" s="2">
        <f>Pivot!$H$9</f>
        <v>1194133</v>
      </c>
      <c r="M56" t="str">
        <f>Pivot!$D$32</f>
        <v>Grand Total</v>
      </c>
      <c r="N56" s="2">
        <f>Pivot!$E$32</f>
        <v>15951211</v>
      </c>
      <c r="O56" s="2">
        <f>Pivot!$F$32</f>
        <v>19805665</v>
      </c>
    </row>
    <row r="57" spans="1:15" x14ac:dyDescent="0.25">
      <c r="D57" t="str">
        <f>Pivot!$D$10</f>
        <v>Travel</v>
      </c>
      <c r="E57" s="2">
        <f>Pivot!$E$10</f>
        <v>1748053</v>
      </c>
      <c r="G57" t="str">
        <f>Pivot!$G$10</f>
        <v>Jul</v>
      </c>
      <c r="H57" s="2">
        <f>Pivot!$H$10</f>
        <v>1480791</v>
      </c>
    </row>
    <row r="58" spans="1:15" x14ac:dyDescent="0.25">
      <c r="D58" t="str">
        <f>Pivot!$D$11</f>
        <v>Utilities</v>
      </c>
      <c r="E58" s="2">
        <f>Pivot!$E$11</f>
        <v>344321</v>
      </c>
      <c r="G58" t="str">
        <f>Pivot!$G$11</f>
        <v>Aug</v>
      </c>
      <c r="H58" s="2">
        <f>Pivot!$H$11</f>
        <v>1302500</v>
      </c>
    </row>
    <row r="59" spans="1:15" x14ac:dyDescent="0.25">
      <c r="G59" t="str">
        <f>Pivot!$G$12</f>
        <v>Sep</v>
      </c>
      <c r="H59" s="2">
        <f>Pivot!$H$12</f>
        <v>1744001</v>
      </c>
    </row>
    <row r="60" spans="1:15" x14ac:dyDescent="0.25">
      <c r="G60" t="str">
        <f>Pivot!$G$13</f>
        <v>Oct</v>
      </c>
      <c r="H60" s="2">
        <f>Pivot!$H$13</f>
        <v>1226148</v>
      </c>
    </row>
    <row r="61" spans="1:15" x14ac:dyDescent="0.25">
      <c r="G61" t="str">
        <f>Pivot!$G$14</f>
        <v>Nov</v>
      </c>
      <c r="H61" s="2">
        <f>Pivot!$H$14</f>
        <v>1727725</v>
      </c>
    </row>
    <row r="62" spans="1:15" x14ac:dyDescent="0.25">
      <c r="G62" t="str">
        <f>Pivot!$G$15</f>
        <v>Dec</v>
      </c>
      <c r="H62" s="2">
        <f>Pivot!$H$15</f>
        <v>1514248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RAMKUMAR G</cp:lastModifiedBy>
  <dcterms:created xsi:type="dcterms:W3CDTF">2026-05-19T08:07:04Z</dcterms:created>
  <dcterms:modified xsi:type="dcterms:W3CDTF">2026-07-10T05:22:25Z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